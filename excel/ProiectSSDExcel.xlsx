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defaultThemeVersion="124226"/>
  <mc:AlternateContent xmlns:mc="http://schemas.openxmlformats.org/markup-compatibility/2006">
    <mc:Choice Requires="x15">
      <x15ac:absPath xmlns:x15ac="http://schemas.microsoft.com/office/spreadsheetml/2010/11/ac" url="C:\Users\Barbu\Documents\"/>
    </mc:Choice>
  </mc:AlternateContent>
  <xr:revisionPtr revIDLastSave="0" documentId="8_{C162EF0E-D071-4349-951D-3E4A2863E13C}" xr6:coauthVersionLast="36" xr6:coauthVersionMax="36" xr10:uidLastSave="{00000000-0000-0000-0000-000000000000}"/>
  <bookViews>
    <workbookView xWindow="120" yWindow="90" windowWidth="23895" windowHeight="14535" activeTab="4" xr2:uid="{00000000-000D-0000-FFFF-FFFF00000000}"/>
  </bookViews>
  <sheets>
    <sheet name="Venituri_Profitabilitate" sheetId="1" r:id="rId1"/>
    <sheet name="PivotTable1" sheetId="6" r:id="rId2"/>
    <sheet name="PrognozaIndicatori" sheetId="10" r:id="rId3"/>
    <sheet name="PivotTable2" sheetId="7" r:id="rId4"/>
    <sheet name="DashBoard" sheetId="9" r:id="rId5"/>
    <sheet name="PivotTable3" sheetId="8" r:id="rId6"/>
    <sheet name="TabelDatePivot" sheetId="5" r:id="rId7"/>
    <sheet name="Clasificare_Produse" sheetId="4" r:id="rId8"/>
    <sheet name="Analiză_Descriptivă" sheetId="3" r:id="rId9"/>
  </sheets>
  <definedNames>
    <definedName name="Slicer_Nume">#N/A</definedName>
    <definedName name="Slicer_Nume_regiune">#N/A</definedName>
  </definedNames>
  <calcPr calcId="191029"/>
  <pivotCaches>
    <pivotCache cacheId="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10" l="1"/>
  <c r="G4" i="10"/>
  <c r="G5" i="10"/>
  <c r="G2" i="10"/>
  <c r="F3" i="10"/>
  <c r="F4" i="10"/>
  <c r="F5" i="10"/>
  <c r="F2" i="10"/>
  <c r="E3" i="10"/>
  <c r="E4" i="10"/>
  <c r="E5" i="10"/>
  <c r="E2" i="10"/>
  <c r="D2" i="10"/>
  <c r="D3" i="10"/>
  <c r="D4" i="10"/>
  <c r="D5" i="10"/>
  <c r="F18" i="3"/>
  <c r="F17" i="3"/>
  <c r="D18" i="3"/>
  <c r="D17" i="3"/>
  <c r="B18" i="3"/>
  <c r="B17" i="3"/>
  <c r="H10" i="3"/>
  <c r="H9" i="3"/>
  <c r="F10" i="3"/>
  <c r="F9" i="3"/>
  <c r="D10" i="3"/>
  <c r="D11" i="3" s="1"/>
  <c r="D9" i="3"/>
  <c r="B9" i="3"/>
  <c r="B10" i="3"/>
  <c r="H11" i="3" l="1"/>
  <c r="H13" i="3" s="1"/>
  <c r="B11" i="3"/>
  <c r="B13" i="3" s="1"/>
  <c r="F19" i="3"/>
  <c r="F20" i="3" s="1"/>
  <c r="D19" i="3"/>
  <c r="D21" i="3" s="1"/>
  <c r="B19" i="3"/>
  <c r="B21" i="3" s="1"/>
  <c r="F11" i="3"/>
  <c r="F13" i="3" s="1"/>
  <c r="D12" i="3"/>
  <c r="H12" i="3" l="1"/>
  <c r="B12" i="3"/>
  <c r="F21" i="3"/>
  <c r="I33" i="3" s="1"/>
  <c r="D20" i="3"/>
  <c r="B20" i="3"/>
  <c r="F12" i="3"/>
  <c r="D13" i="3"/>
  <c r="F27" i="3" s="1"/>
  <c r="F33" i="3" l="1"/>
  <c r="F31" i="3"/>
  <c r="F32" i="3"/>
  <c r="F30" i="3"/>
  <c r="C27" i="3"/>
  <c r="C26" i="3"/>
  <c r="C25" i="3"/>
  <c r="C24" i="3"/>
  <c r="F24" i="3"/>
  <c r="I26" i="3"/>
  <c r="I27" i="3"/>
  <c r="I24" i="3"/>
  <c r="I25" i="3"/>
  <c r="F26" i="3"/>
  <c r="I30" i="3"/>
  <c r="C30" i="3"/>
  <c r="C33" i="3"/>
  <c r="C32" i="3"/>
  <c r="C31" i="3"/>
  <c r="L27" i="3"/>
  <c r="L25" i="3"/>
  <c r="L24" i="3"/>
  <c r="L26" i="3"/>
  <c r="F25" i="3"/>
  <c r="I31" i="3"/>
  <c r="I32" i="3"/>
</calcChain>
</file>

<file path=xl/sharedStrings.xml><?xml version="1.0" encoding="utf-8"?>
<sst xmlns="http://schemas.openxmlformats.org/spreadsheetml/2006/main" count="286" uniqueCount="49">
  <si>
    <t>Nume_regiune</t>
  </si>
  <si>
    <t>Nume</t>
  </si>
  <si>
    <t>Venit_Total(USD, milioane)</t>
  </si>
  <si>
    <t>Cantitate(litri)</t>
  </si>
  <si>
    <t>Cost_Productie(USD/Litru)</t>
  </si>
  <si>
    <t>Cost_Distributie(USD/Litru)</t>
  </si>
  <si>
    <t>Costuri_Totale</t>
  </si>
  <si>
    <t>Profit_Brut</t>
  </si>
  <si>
    <t>ID_Produs</t>
  </si>
  <si>
    <t>Europa, Orientul Mijlociu &amp; Africa</t>
  </si>
  <si>
    <t>Coca-Cola Clasic</t>
  </si>
  <si>
    <t>America Latină</t>
  </si>
  <si>
    <t>America de Nord</t>
  </si>
  <si>
    <t>Asia-Pacific</t>
  </si>
  <si>
    <t>Sprite</t>
  </si>
  <si>
    <t>Fanta</t>
  </si>
  <si>
    <t>Cappy Pulpy Portocale</t>
  </si>
  <si>
    <t>Cappy Pulpy Mere</t>
  </si>
  <si>
    <t>Dorna Apă Plată</t>
  </si>
  <si>
    <t>Schweppes Tonic</t>
  </si>
  <si>
    <t>Tip</t>
  </si>
  <si>
    <t>SumOfVenit_Total(USD, milioane)</t>
  </si>
  <si>
    <t>SumOfCosturi_Totale</t>
  </si>
  <si>
    <t>SumOfProfit_Brut</t>
  </si>
  <si>
    <t>Apă minerală</t>
  </si>
  <si>
    <t>Băutură carbogazoasă</t>
  </si>
  <si>
    <t>Suc de fructe</t>
  </si>
  <si>
    <t>Q1</t>
  </si>
  <si>
    <t>Q3</t>
  </si>
  <si>
    <t>IQR</t>
  </si>
  <si>
    <t>L Bound</t>
  </si>
  <si>
    <t>U bound</t>
  </si>
  <si>
    <t>Outlieri</t>
  </si>
  <si>
    <t>Row Labels</t>
  </si>
  <si>
    <t>Grand Total</t>
  </si>
  <si>
    <t>Sum of Venit_Total(USD, milioane)</t>
  </si>
  <si>
    <t>Sum of Profit_Brut</t>
  </si>
  <si>
    <t>Pivot Table 1: Venituri și profit pe regiuni:</t>
  </si>
  <si>
    <t>Pivot Table 2: Performanța produselor:</t>
  </si>
  <si>
    <t>Column Labels</t>
  </si>
  <si>
    <t>Sum of Costuri_Totale</t>
  </si>
  <si>
    <t>Pivot Table 3: Analiza costurilor:</t>
  </si>
  <si>
    <t>Venituri2022</t>
  </si>
  <si>
    <t>Profit2022</t>
  </si>
  <si>
    <t>Venituri Optimist 2023</t>
  </si>
  <si>
    <t>Venituri Pesimist 2023</t>
  </si>
  <si>
    <t>Profit Optimist 2023</t>
  </si>
  <si>
    <t>Profit Pesimist 2023</t>
  </si>
  <si>
    <t>Nume Regiune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</si>
</sst>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8"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5">
    <xf numFmtId="0" fontId="0" fillId="0" borderId="0" xfId="0"/>
    <xf numFmtId="0" fontId="1" fillId="2" borderId="1" xfId="0" applyFont="1" applyFill="1" applyBorder="1" applyAlignment="1" applyProtection="1">
      <alignment horizontal="center" vertical="center"/>
    </xf>
    <xf numFmtId="0" fontId="3" fillId="3" borderId="2" xfId="0" applyFont="1" applyFill="1" applyBorder="1" applyAlignment="1" applyProtection="1">
      <alignment vertical="center" wrapText="1"/>
    </xf>
    <xf numFmtId="164" fontId="4" fillId="4" borderId="3" xfId="0" applyNumberFormat="1" applyFont="1" applyFill="1" applyBorder="1" applyAlignment="1" applyProtection="1">
      <alignment horizontal="right" vertical="center" wrapText="1"/>
    </xf>
    <xf numFmtId="0" fontId="5" fillId="5" borderId="4" xfId="0" applyFont="1" applyFill="1" applyBorder="1" applyAlignment="1" applyProtection="1">
      <alignment horizontal="right" vertical="center" wrapText="1"/>
    </xf>
    <xf numFmtId="164" fontId="6" fillId="6" borderId="5" xfId="0" applyNumberFormat="1" applyFont="1" applyFill="1" applyBorder="1" applyAlignment="1" applyProtection="1">
      <alignment horizontal="right" vertical="center" wrapText="1"/>
    </xf>
    <xf numFmtId="0" fontId="2" fillId="6" borderId="5" xfId="0" applyFont="1" applyFill="1" applyBorder="1" applyAlignment="1" applyProtection="1">
      <alignment vertical="center" wrapText="1"/>
    </xf>
    <xf numFmtId="164" fontId="2" fillId="6" borderId="5" xfId="0" applyNumberFormat="1" applyFont="1" applyFill="1" applyBorder="1" applyAlignment="1" applyProtection="1">
      <alignment horizontal="right" vertical="center" wrapText="1"/>
    </xf>
    <xf numFmtId="2" fontId="0" fillId="0" borderId="0" xfId="0" applyNumberFormat="1"/>
    <xf numFmtId="0" fontId="7" fillId="2" borderId="1" xfId="0" applyFont="1" applyFill="1" applyBorder="1" applyAlignment="1" applyProtection="1">
      <alignment horizontal="center" vertical="center"/>
    </xf>
    <xf numFmtId="2" fontId="3" fillId="3" borderId="2" xfId="0" applyNumberFormat="1" applyFont="1" applyFill="1" applyBorder="1" applyAlignment="1" applyProtection="1">
      <alignment vertical="center" wrapText="1"/>
    </xf>
    <xf numFmtId="2" fontId="4" fillId="4" borderId="3" xfId="0" applyNumberFormat="1" applyFont="1" applyFill="1" applyBorder="1" applyAlignment="1" applyProtection="1">
      <alignment horizontal="right" vertical="center"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5">
    <dxf>
      <font>
        <b val="0"/>
        <i val="0"/>
        <strike val="0"/>
        <condense val="0"/>
        <extend val="0"/>
        <outline val="0"/>
        <shadow val="0"/>
        <u val="none"/>
        <vertAlign val="baseline"/>
        <sz val="11"/>
        <color rgb="FF000000"/>
        <name val="Calibri"/>
        <scheme val="none"/>
      </font>
      <numFmt numFmtId="164" formatCode="\$#,##0.00;\(\$#,##0.00\)"/>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protection locked="1" hidden="0"/>
    </dxf>
    <dxf>
      <font>
        <b val="0"/>
        <i val="0"/>
        <strike val="0"/>
        <condense val="0"/>
        <extend val="0"/>
        <outline val="0"/>
        <shadow val="0"/>
        <u val="none"/>
        <vertAlign val="baseline"/>
        <sz val="11"/>
        <color rgb="FF000000"/>
        <name val="Calibri"/>
        <scheme val="none"/>
      </font>
      <numFmt numFmtId="164" formatCode="\$#,##0.00;\(\$#,##0.00\)"/>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protection locked="1" hidden="0"/>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protection locked="1" hidden="0"/>
    </dxf>
    <dxf>
      <font>
        <b val="0"/>
        <i val="0"/>
        <strike val="0"/>
        <condense val="0"/>
        <extend val="0"/>
        <outline val="0"/>
        <shadow val="0"/>
        <u val="none"/>
        <vertAlign val="baseline"/>
        <sz val="11"/>
        <color rgb="FF000000"/>
        <name val="Calibri"/>
        <scheme val="none"/>
      </font>
      <numFmt numFmtId="164" formatCode="\$#,##0.00;\(\$#,##0.00\)"/>
      <fill>
        <patternFill patternType="none">
          <fgColor rgb="FF000000"/>
          <bgColor rgb="FFFFFFFF"/>
        </patternFill>
      </fill>
      <alignment horizontal="right"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protection locked="1" hidden="0"/>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protection locked="1" hidden="0"/>
    </dxf>
    <dxf>
      <font>
        <b val="0"/>
        <i val="0"/>
        <strike val="0"/>
        <condense val="0"/>
        <extend val="0"/>
        <outline val="0"/>
        <shadow val="0"/>
        <u val="none"/>
        <vertAlign val="baseline"/>
        <sz val="11"/>
        <color rgb="FF000000"/>
        <name val="Calibri"/>
        <scheme val="none"/>
      </font>
      <fill>
        <patternFill patternType="none">
          <fgColor rgb="FF000000"/>
          <bgColor rgb="FFFFFFFF"/>
        </patternFill>
      </fill>
      <alignment horizontal="general" vertical="center" textRotation="0" wrapText="1" indent="0" justifyLastLine="0" shrinkToFit="0" readingOrder="0"/>
      <border diagonalUp="0" diagonalDown="0">
        <left style="thin">
          <color rgb="FFD0D7E5"/>
        </left>
        <right style="thin">
          <color rgb="FFD0D7E5"/>
        </right>
        <top style="thin">
          <color rgb="FFD0D7E5"/>
        </top>
        <bottom style="thin">
          <color rgb="FFD0D7E5"/>
        </bottom>
        <vertical/>
        <horizontal/>
      </border>
      <protection locked="1" hidden="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[ProiectSSDexcel.xlsx]PivotTable1!PivotTable1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PivotTable1!$B$3</c:f>
              <c:strCache>
                <c:ptCount val="1"/>
                <c:pt idx="0">
                  <c:v>Sum of Venit_Total(USD, milioane)</c:v>
                </c:pt>
              </c:strCache>
            </c:strRef>
          </c:tx>
          <c:spPr>
            <a:solidFill>
              <a:schemeClr val="accent1"/>
            </a:solidFill>
            <a:ln>
              <a:noFill/>
            </a:ln>
            <a:effectLst/>
          </c:spPr>
          <c:invertIfNegative val="0"/>
          <c:cat>
            <c:strRef>
              <c:f>PivotTable1!$A$4:$A$8</c:f>
              <c:strCache>
                <c:ptCount val="4"/>
                <c:pt idx="0">
                  <c:v>America de Nord</c:v>
                </c:pt>
                <c:pt idx="1">
                  <c:v>America Latină</c:v>
                </c:pt>
                <c:pt idx="2">
                  <c:v>Asia-Pacific</c:v>
                </c:pt>
                <c:pt idx="3">
                  <c:v>Europa, Orientul Mijlociu &amp; Africa</c:v>
                </c:pt>
              </c:strCache>
            </c:strRef>
          </c:cat>
          <c:val>
            <c:numRef>
              <c:f>PivotTable1!$B$4:$B$8</c:f>
              <c:numCache>
                <c:formatCode>General</c:formatCode>
                <c:ptCount val="4"/>
                <c:pt idx="0">
                  <c:v>3390.4399999999996</c:v>
                </c:pt>
                <c:pt idx="1">
                  <c:v>1696.67</c:v>
                </c:pt>
                <c:pt idx="2">
                  <c:v>1370.09</c:v>
                </c:pt>
                <c:pt idx="3">
                  <c:v>2165.9699999999998</c:v>
                </c:pt>
              </c:numCache>
            </c:numRef>
          </c:val>
          <c:extLst>
            <c:ext xmlns:c16="http://schemas.microsoft.com/office/drawing/2014/chart" uri="{C3380CC4-5D6E-409C-BE32-E72D297353CC}">
              <c16:uniqueId val="{00000000-B128-461A-9A8C-68C8DD67DC69}"/>
            </c:ext>
          </c:extLst>
        </c:ser>
        <c:ser>
          <c:idx val="1"/>
          <c:order val="1"/>
          <c:tx>
            <c:strRef>
              <c:f>PivotTable1!$C$3</c:f>
              <c:strCache>
                <c:ptCount val="1"/>
                <c:pt idx="0">
                  <c:v>Sum of Profit_Brut</c:v>
                </c:pt>
              </c:strCache>
            </c:strRef>
          </c:tx>
          <c:spPr>
            <a:solidFill>
              <a:schemeClr val="accent2"/>
            </a:solidFill>
            <a:ln>
              <a:noFill/>
            </a:ln>
            <a:effectLst/>
          </c:spPr>
          <c:invertIfNegative val="0"/>
          <c:cat>
            <c:strRef>
              <c:f>PivotTable1!$A$4:$A$8</c:f>
              <c:strCache>
                <c:ptCount val="4"/>
                <c:pt idx="0">
                  <c:v>America de Nord</c:v>
                </c:pt>
                <c:pt idx="1">
                  <c:v>America Latină</c:v>
                </c:pt>
                <c:pt idx="2">
                  <c:v>Asia-Pacific</c:v>
                </c:pt>
                <c:pt idx="3">
                  <c:v>Europa, Orientul Mijlociu &amp; Africa</c:v>
                </c:pt>
              </c:strCache>
            </c:strRef>
          </c:cat>
          <c:val>
            <c:numRef>
              <c:f>PivotTable1!$C$4:$C$8</c:f>
              <c:numCache>
                <c:formatCode>General</c:formatCode>
                <c:ptCount val="4"/>
                <c:pt idx="0">
                  <c:v>1802.0826</c:v>
                </c:pt>
                <c:pt idx="1">
                  <c:v>902.83209999999997</c:v>
                </c:pt>
                <c:pt idx="2">
                  <c:v>726.09099999999989</c:v>
                </c:pt>
                <c:pt idx="3">
                  <c:v>1155.1793</c:v>
                </c:pt>
              </c:numCache>
            </c:numRef>
          </c:val>
          <c:extLst>
            <c:ext xmlns:c16="http://schemas.microsoft.com/office/drawing/2014/chart" uri="{C3380CC4-5D6E-409C-BE32-E72D297353CC}">
              <c16:uniqueId val="{00000001-B128-461A-9A8C-68C8DD67DC69}"/>
            </c:ext>
          </c:extLst>
        </c:ser>
        <c:dLbls>
          <c:showLegendKey val="0"/>
          <c:showVal val="0"/>
          <c:showCatName val="0"/>
          <c:showSerName val="0"/>
          <c:showPercent val="0"/>
          <c:showBubbleSize val="0"/>
        </c:dLbls>
        <c:gapWidth val="182"/>
        <c:axId val="2083494815"/>
        <c:axId val="60442255"/>
      </c:barChart>
      <c:catAx>
        <c:axId val="208349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2255"/>
        <c:crosses val="autoZero"/>
        <c:auto val="1"/>
        <c:lblAlgn val="ctr"/>
        <c:lblOffset val="100"/>
        <c:noMultiLvlLbl val="0"/>
      </c:catAx>
      <c:valAx>
        <c:axId val="6044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Compararea veniturilor prognozate pentru 2023 (Optimist vs. Pesimist)</a:t>
            </a:r>
            <a:endParaRPr lang="en-US"/>
          </a:p>
        </c:rich>
      </c:tx>
      <c:layout>
        <c:manualLayout>
          <c:xMode val="edge"/>
          <c:yMode val="edge"/>
          <c:x val="0.12077555409740449"/>
          <c:y val="3.1234743856654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PrognozaIndicatori!$D$1</c:f>
              <c:strCache>
                <c:ptCount val="1"/>
                <c:pt idx="0">
                  <c:v>Venituri Optimist 2023</c:v>
                </c:pt>
              </c:strCache>
            </c:strRef>
          </c:tx>
          <c:spPr>
            <a:solidFill>
              <a:schemeClr val="accent1"/>
            </a:solidFill>
            <a:ln>
              <a:noFill/>
            </a:ln>
            <a:effectLst/>
          </c:spPr>
          <c:invertIfNegative val="0"/>
          <c:cat>
            <c:strRef>
              <c:f>PrognozaIndicatori!$A$2:$A$5</c:f>
              <c:strCache>
                <c:ptCount val="4"/>
                <c:pt idx="0">
                  <c:v>America de Nord</c:v>
                </c:pt>
                <c:pt idx="1">
                  <c:v>America Latină</c:v>
                </c:pt>
                <c:pt idx="2">
                  <c:v>Asia-Pacific</c:v>
                </c:pt>
                <c:pt idx="3">
                  <c:v>Europa, Orientul Mijlociu &amp; Africa</c:v>
                </c:pt>
              </c:strCache>
            </c:strRef>
          </c:cat>
          <c:val>
            <c:numRef>
              <c:f>PrognozaIndicatori!$D$2:$D$5</c:f>
              <c:numCache>
                <c:formatCode>0.00</c:formatCode>
                <c:ptCount val="4"/>
                <c:pt idx="0">
                  <c:v>3729.4839999999999</c:v>
                </c:pt>
                <c:pt idx="1">
                  <c:v>1866.3370000000002</c:v>
                </c:pt>
                <c:pt idx="2">
                  <c:v>1507.0989999999999</c:v>
                </c:pt>
                <c:pt idx="3">
                  <c:v>2382.567</c:v>
                </c:pt>
              </c:numCache>
            </c:numRef>
          </c:val>
          <c:extLst>
            <c:ext xmlns:c16="http://schemas.microsoft.com/office/drawing/2014/chart" uri="{C3380CC4-5D6E-409C-BE32-E72D297353CC}">
              <c16:uniqueId val="{00000000-326A-4BA2-A176-1CED7A9E7894}"/>
            </c:ext>
          </c:extLst>
        </c:ser>
        <c:ser>
          <c:idx val="1"/>
          <c:order val="1"/>
          <c:tx>
            <c:strRef>
              <c:f>PrognozaIndicatori!$E$1</c:f>
              <c:strCache>
                <c:ptCount val="1"/>
                <c:pt idx="0">
                  <c:v>Venituri Pesimist 2023</c:v>
                </c:pt>
              </c:strCache>
            </c:strRef>
          </c:tx>
          <c:spPr>
            <a:solidFill>
              <a:schemeClr val="accent2"/>
            </a:solidFill>
            <a:ln>
              <a:noFill/>
            </a:ln>
            <a:effectLst/>
          </c:spPr>
          <c:invertIfNegative val="0"/>
          <c:cat>
            <c:strRef>
              <c:f>PrognozaIndicatori!$A$2:$A$5</c:f>
              <c:strCache>
                <c:ptCount val="4"/>
                <c:pt idx="0">
                  <c:v>America de Nord</c:v>
                </c:pt>
                <c:pt idx="1">
                  <c:v>America Latină</c:v>
                </c:pt>
                <c:pt idx="2">
                  <c:v>Asia-Pacific</c:v>
                </c:pt>
                <c:pt idx="3">
                  <c:v>Europa, Orientul Mijlociu &amp; Africa</c:v>
                </c:pt>
              </c:strCache>
            </c:strRef>
          </c:cat>
          <c:val>
            <c:numRef>
              <c:f>PrognozaIndicatori!$E$2:$E$5</c:f>
              <c:numCache>
                <c:formatCode>0.00</c:formatCode>
                <c:ptCount val="4"/>
                <c:pt idx="0">
                  <c:v>3559.9619999999995</c:v>
                </c:pt>
                <c:pt idx="1">
                  <c:v>1781.5035000000003</c:v>
                </c:pt>
                <c:pt idx="2">
                  <c:v>1438.5944999999999</c:v>
                </c:pt>
                <c:pt idx="3">
                  <c:v>2274.2684999999997</c:v>
                </c:pt>
              </c:numCache>
            </c:numRef>
          </c:val>
          <c:extLst>
            <c:ext xmlns:c16="http://schemas.microsoft.com/office/drawing/2014/chart" uri="{C3380CC4-5D6E-409C-BE32-E72D297353CC}">
              <c16:uniqueId val="{00000001-326A-4BA2-A176-1CED7A9E7894}"/>
            </c:ext>
          </c:extLst>
        </c:ser>
        <c:dLbls>
          <c:showLegendKey val="0"/>
          <c:showVal val="0"/>
          <c:showCatName val="0"/>
          <c:showSerName val="0"/>
          <c:showPercent val="0"/>
          <c:showBubbleSize val="0"/>
        </c:dLbls>
        <c:gapWidth val="219"/>
        <c:overlap val="-27"/>
        <c:axId val="237979359"/>
        <c:axId val="2086770943"/>
      </c:barChart>
      <c:catAx>
        <c:axId val="23797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770943"/>
        <c:crosses val="autoZero"/>
        <c:auto val="1"/>
        <c:lblAlgn val="ctr"/>
        <c:lblOffset val="100"/>
        <c:noMultiLvlLbl val="0"/>
      </c:catAx>
      <c:valAx>
        <c:axId val="20867709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979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Compararea profiturilor prognozate pentru 2023 (Optimist vs. Pesimist)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PrognozaIndicatori!$F$1</c:f>
              <c:strCache>
                <c:ptCount val="1"/>
                <c:pt idx="0">
                  <c:v>Profit Optimist 2023</c:v>
                </c:pt>
              </c:strCache>
            </c:strRef>
          </c:tx>
          <c:spPr>
            <a:ln w="28575" cap="rnd">
              <a:solidFill>
                <a:schemeClr val="accent1"/>
              </a:solidFill>
              <a:round/>
            </a:ln>
            <a:effectLst/>
          </c:spPr>
          <c:marker>
            <c:symbol val="none"/>
          </c:marker>
          <c:cat>
            <c:strRef>
              <c:f>PrognozaIndicatori!$A$2:$A$5</c:f>
              <c:strCache>
                <c:ptCount val="4"/>
                <c:pt idx="0">
                  <c:v>America de Nord</c:v>
                </c:pt>
                <c:pt idx="1">
                  <c:v>America Latină</c:v>
                </c:pt>
                <c:pt idx="2">
                  <c:v>Asia-Pacific</c:v>
                </c:pt>
                <c:pt idx="3">
                  <c:v>Europa, Orientul Mijlociu &amp; Africa</c:v>
                </c:pt>
              </c:strCache>
            </c:strRef>
          </c:cat>
          <c:val>
            <c:numRef>
              <c:f>PrognozaIndicatori!$F$2:$F$5</c:f>
              <c:numCache>
                <c:formatCode>0.00</c:formatCode>
                <c:ptCount val="4"/>
                <c:pt idx="0">
                  <c:v>1982.2908600000001</c:v>
                </c:pt>
                <c:pt idx="1">
                  <c:v>993.11531000000002</c:v>
                </c:pt>
                <c:pt idx="2">
                  <c:v>798.70009999999991</c:v>
                </c:pt>
                <c:pt idx="3">
                  <c:v>1270.6972300000002</c:v>
                </c:pt>
              </c:numCache>
            </c:numRef>
          </c:val>
          <c:smooth val="0"/>
          <c:extLst>
            <c:ext xmlns:c16="http://schemas.microsoft.com/office/drawing/2014/chart" uri="{C3380CC4-5D6E-409C-BE32-E72D297353CC}">
              <c16:uniqueId val="{00000000-34FC-40D1-A5A2-B6D4EBA04120}"/>
            </c:ext>
          </c:extLst>
        </c:ser>
        <c:ser>
          <c:idx val="1"/>
          <c:order val="1"/>
          <c:tx>
            <c:strRef>
              <c:f>PrognozaIndicatori!$G$1</c:f>
              <c:strCache>
                <c:ptCount val="1"/>
                <c:pt idx="0">
                  <c:v>Profit Pesimist 2023</c:v>
                </c:pt>
              </c:strCache>
            </c:strRef>
          </c:tx>
          <c:spPr>
            <a:ln w="28575" cap="rnd">
              <a:solidFill>
                <a:schemeClr val="accent2"/>
              </a:solidFill>
              <a:round/>
            </a:ln>
            <a:effectLst/>
          </c:spPr>
          <c:marker>
            <c:symbol val="none"/>
          </c:marker>
          <c:cat>
            <c:strRef>
              <c:f>PrognozaIndicatori!$A$2:$A$5</c:f>
              <c:strCache>
                <c:ptCount val="4"/>
                <c:pt idx="0">
                  <c:v>America de Nord</c:v>
                </c:pt>
                <c:pt idx="1">
                  <c:v>America Latină</c:v>
                </c:pt>
                <c:pt idx="2">
                  <c:v>Asia-Pacific</c:v>
                </c:pt>
                <c:pt idx="3">
                  <c:v>Europa, Orientul Mijlociu &amp; Africa</c:v>
                </c:pt>
              </c:strCache>
            </c:strRef>
          </c:cat>
          <c:val>
            <c:numRef>
              <c:f>PrognozaIndicatori!$G$2:$G$5</c:f>
              <c:numCache>
                <c:formatCode>0.00</c:formatCode>
                <c:ptCount val="4"/>
                <c:pt idx="0">
                  <c:v>1892.1867300000001</c:v>
                </c:pt>
                <c:pt idx="1">
                  <c:v>947.973705</c:v>
                </c:pt>
                <c:pt idx="2">
                  <c:v>762.39554999999996</c:v>
                </c:pt>
                <c:pt idx="3">
                  <c:v>1212.938265</c:v>
                </c:pt>
              </c:numCache>
            </c:numRef>
          </c:val>
          <c:smooth val="0"/>
          <c:extLst>
            <c:ext xmlns:c16="http://schemas.microsoft.com/office/drawing/2014/chart" uri="{C3380CC4-5D6E-409C-BE32-E72D297353CC}">
              <c16:uniqueId val="{00000001-34FC-40D1-A5A2-B6D4EBA04120}"/>
            </c:ext>
          </c:extLst>
        </c:ser>
        <c:dLbls>
          <c:showLegendKey val="0"/>
          <c:showVal val="0"/>
          <c:showCatName val="0"/>
          <c:showSerName val="0"/>
          <c:showPercent val="0"/>
          <c:showBubbleSize val="0"/>
        </c:dLbls>
        <c:smooth val="0"/>
        <c:axId val="280572591"/>
        <c:axId val="2084469423"/>
      </c:lineChart>
      <c:catAx>
        <c:axId val="28057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469423"/>
        <c:crosses val="autoZero"/>
        <c:auto val="1"/>
        <c:lblAlgn val="ctr"/>
        <c:lblOffset val="100"/>
        <c:noMultiLvlLbl val="0"/>
      </c:catAx>
      <c:valAx>
        <c:axId val="20844694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57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[ProiectSSDexcel.xlsx]PivotTable2!PivotTable2</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PivotTable2!$B$3</c:f>
              <c:strCache>
                <c:ptCount val="1"/>
                <c:pt idx="0">
                  <c:v>Sum of Venit_Total(USD, milioane)</c:v>
                </c:pt>
              </c:strCache>
            </c:strRef>
          </c:tx>
          <c:spPr>
            <a:solidFill>
              <a:schemeClr val="accent1"/>
            </a:solidFill>
            <a:ln>
              <a:noFill/>
            </a:ln>
            <a:effectLst/>
          </c:spPr>
          <c:invertIfNegative val="0"/>
          <c:cat>
            <c:strRef>
              <c:f>PivotTable2!$A$4:$A$11</c:f>
              <c:strCache>
                <c:ptCount val="7"/>
                <c:pt idx="0">
                  <c:v>Cappy Pulpy Mere</c:v>
                </c:pt>
                <c:pt idx="1">
                  <c:v>Cappy Pulpy Portocale</c:v>
                </c:pt>
                <c:pt idx="2">
                  <c:v>Coca-Cola Clasic</c:v>
                </c:pt>
                <c:pt idx="3">
                  <c:v>Dorna Apă Plată</c:v>
                </c:pt>
                <c:pt idx="4">
                  <c:v>Fanta</c:v>
                </c:pt>
                <c:pt idx="5">
                  <c:v>Schweppes Tonic</c:v>
                </c:pt>
                <c:pt idx="6">
                  <c:v>Sprite</c:v>
                </c:pt>
              </c:strCache>
            </c:strRef>
          </c:cat>
          <c:val>
            <c:numRef>
              <c:f>PivotTable2!$B$4:$B$11</c:f>
              <c:numCache>
                <c:formatCode>General</c:formatCode>
                <c:ptCount val="7"/>
                <c:pt idx="0">
                  <c:v>569.27</c:v>
                </c:pt>
                <c:pt idx="1">
                  <c:v>907.28</c:v>
                </c:pt>
                <c:pt idx="2">
                  <c:v>2774.3700000000003</c:v>
                </c:pt>
                <c:pt idx="3">
                  <c:v>828.28000000000009</c:v>
                </c:pt>
                <c:pt idx="4">
                  <c:v>1231</c:v>
                </c:pt>
                <c:pt idx="5">
                  <c:v>785.88000000000011</c:v>
                </c:pt>
                <c:pt idx="6">
                  <c:v>1527.09</c:v>
                </c:pt>
              </c:numCache>
            </c:numRef>
          </c:val>
          <c:extLst>
            <c:ext xmlns:c16="http://schemas.microsoft.com/office/drawing/2014/chart" uri="{C3380CC4-5D6E-409C-BE32-E72D297353CC}">
              <c16:uniqueId val="{00000000-2626-466D-83D1-0C6B45269656}"/>
            </c:ext>
          </c:extLst>
        </c:ser>
        <c:ser>
          <c:idx val="1"/>
          <c:order val="1"/>
          <c:tx>
            <c:strRef>
              <c:f>PivotTable2!$C$3</c:f>
              <c:strCache>
                <c:ptCount val="1"/>
                <c:pt idx="0">
                  <c:v>Sum of Profit_Brut</c:v>
                </c:pt>
              </c:strCache>
            </c:strRef>
          </c:tx>
          <c:spPr>
            <a:solidFill>
              <a:schemeClr val="accent2"/>
            </a:solidFill>
            <a:ln>
              <a:noFill/>
            </a:ln>
            <a:effectLst/>
          </c:spPr>
          <c:invertIfNegative val="0"/>
          <c:cat>
            <c:strRef>
              <c:f>PivotTable2!$A$4:$A$11</c:f>
              <c:strCache>
                <c:ptCount val="7"/>
                <c:pt idx="0">
                  <c:v>Cappy Pulpy Mere</c:v>
                </c:pt>
                <c:pt idx="1">
                  <c:v>Cappy Pulpy Portocale</c:v>
                </c:pt>
                <c:pt idx="2">
                  <c:v>Coca-Cola Clasic</c:v>
                </c:pt>
                <c:pt idx="3">
                  <c:v>Dorna Apă Plată</c:v>
                </c:pt>
                <c:pt idx="4">
                  <c:v>Fanta</c:v>
                </c:pt>
                <c:pt idx="5">
                  <c:v>Schweppes Tonic</c:v>
                </c:pt>
                <c:pt idx="6">
                  <c:v>Sprite</c:v>
                </c:pt>
              </c:strCache>
            </c:strRef>
          </c:cat>
          <c:val>
            <c:numRef>
              <c:f>PivotTable2!$C$4:$C$11</c:f>
              <c:numCache>
                <c:formatCode>General</c:formatCode>
                <c:ptCount val="7"/>
                <c:pt idx="0">
                  <c:v>319.22329999999999</c:v>
                </c:pt>
                <c:pt idx="1">
                  <c:v>478.84270000000004</c:v>
                </c:pt>
                <c:pt idx="2">
                  <c:v>1479.664</c:v>
                </c:pt>
                <c:pt idx="3">
                  <c:v>455.55399999999997</c:v>
                </c:pt>
                <c:pt idx="4">
                  <c:v>620.06179999999995</c:v>
                </c:pt>
                <c:pt idx="5">
                  <c:v>392.94</c:v>
                </c:pt>
                <c:pt idx="6">
                  <c:v>839.89920000000006</c:v>
                </c:pt>
              </c:numCache>
            </c:numRef>
          </c:val>
          <c:extLst>
            <c:ext xmlns:c16="http://schemas.microsoft.com/office/drawing/2014/chart" uri="{C3380CC4-5D6E-409C-BE32-E72D297353CC}">
              <c16:uniqueId val="{00000001-2626-466D-83D1-0C6B45269656}"/>
            </c:ext>
          </c:extLst>
        </c:ser>
        <c:dLbls>
          <c:showLegendKey val="0"/>
          <c:showVal val="0"/>
          <c:showCatName val="0"/>
          <c:showSerName val="0"/>
          <c:showPercent val="0"/>
          <c:showBubbleSize val="0"/>
        </c:dLbls>
        <c:gapWidth val="182"/>
        <c:axId val="231676207"/>
        <c:axId val="2093511647"/>
      </c:barChart>
      <c:catAx>
        <c:axId val="23167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11647"/>
        <c:crosses val="autoZero"/>
        <c:auto val="1"/>
        <c:lblAlgn val="ctr"/>
        <c:lblOffset val="100"/>
        <c:noMultiLvlLbl val="0"/>
      </c:catAx>
      <c:valAx>
        <c:axId val="209351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7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[ProiectSSDexcel.xlsx]PivotTable1!PivotTable1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PivotTable1!$B$3</c:f>
              <c:strCache>
                <c:ptCount val="1"/>
                <c:pt idx="0">
                  <c:v>Sum of Venit_Total(USD, milioane)</c:v>
                </c:pt>
              </c:strCache>
            </c:strRef>
          </c:tx>
          <c:spPr>
            <a:solidFill>
              <a:schemeClr val="accent1"/>
            </a:solidFill>
            <a:ln>
              <a:noFill/>
            </a:ln>
            <a:effectLst/>
          </c:spPr>
          <c:invertIfNegative val="0"/>
          <c:cat>
            <c:strRef>
              <c:f>PivotTable1!$A$4:$A$8</c:f>
              <c:strCache>
                <c:ptCount val="4"/>
                <c:pt idx="0">
                  <c:v>America de Nord</c:v>
                </c:pt>
                <c:pt idx="1">
                  <c:v>America Latină</c:v>
                </c:pt>
                <c:pt idx="2">
                  <c:v>Asia-Pacific</c:v>
                </c:pt>
                <c:pt idx="3">
                  <c:v>Europa, Orientul Mijlociu &amp; Africa</c:v>
                </c:pt>
              </c:strCache>
            </c:strRef>
          </c:cat>
          <c:val>
            <c:numRef>
              <c:f>PivotTable1!$B$4:$B$8</c:f>
              <c:numCache>
                <c:formatCode>General</c:formatCode>
                <c:ptCount val="4"/>
                <c:pt idx="0">
                  <c:v>3390.4399999999996</c:v>
                </c:pt>
                <c:pt idx="1">
                  <c:v>1696.67</c:v>
                </c:pt>
                <c:pt idx="2">
                  <c:v>1370.09</c:v>
                </c:pt>
                <c:pt idx="3">
                  <c:v>2165.9699999999998</c:v>
                </c:pt>
              </c:numCache>
            </c:numRef>
          </c:val>
          <c:extLst>
            <c:ext xmlns:c16="http://schemas.microsoft.com/office/drawing/2014/chart" uri="{C3380CC4-5D6E-409C-BE32-E72D297353CC}">
              <c16:uniqueId val="{00000000-F11E-4234-8E79-A86118D94E6C}"/>
            </c:ext>
          </c:extLst>
        </c:ser>
        <c:ser>
          <c:idx val="1"/>
          <c:order val="1"/>
          <c:tx>
            <c:strRef>
              <c:f>PivotTable1!$C$3</c:f>
              <c:strCache>
                <c:ptCount val="1"/>
                <c:pt idx="0">
                  <c:v>Sum of Profit_Brut</c:v>
                </c:pt>
              </c:strCache>
            </c:strRef>
          </c:tx>
          <c:spPr>
            <a:solidFill>
              <a:schemeClr val="accent2"/>
            </a:solidFill>
            <a:ln>
              <a:noFill/>
            </a:ln>
            <a:effectLst/>
          </c:spPr>
          <c:invertIfNegative val="0"/>
          <c:cat>
            <c:strRef>
              <c:f>PivotTable1!$A$4:$A$8</c:f>
              <c:strCache>
                <c:ptCount val="4"/>
                <c:pt idx="0">
                  <c:v>America de Nord</c:v>
                </c:pt>
                <c:pt idx="1">
                  <c:v>America Latină</c:v>
                </c:pt>
                <c:pt idx="2">
                  <c:v>Asia-Pacific</c:v>
                </c:pt>
                <c:pt idx="3">
                  <c:v>Europa, Orientul Mijlociu &amp; Africa</c:v>
                </c:pt>
              </c:strCache>
            </c:strRef>
          </c:cat>
          <c:val>
            <c:numRef>
              <c:f>PivotTable1!$C$4:$C$8</c:f>
              <c:numCache>
                <c:formatCode>General</c:formatCode>
                <c:ptCount val="4"/>
                <c:pt idx="0">
                  <c:v>1802.0826</c:v>
                </c:pt>
                <c:pt idx="1">
                  <c:v>902.83209999999997</c:v>
                </c:pt>
                <c:pt idx="2">
                  <c:v>726.09099999999989</c:v>
                </c:pt>
                <c:pt idx="3">
                  <c:v>1155.1793</c:v>
                </c:pt>
              </c:numCache>
            </c:numRef>
          </c:val>
          <c:extLst>
            <c:ext xmlns:c16="http://schemas.microsoft.com/office/drawing/2014/chart" uri="{C3380CC4-5D6E-409C-BE32-E72D297353CC}">
              <c16:uniqueId val="{00000001-F11E-4234-8E79-A86118D94E6C}"/>
            </c:ext>
          </c:extLst>
        </c:ser>
        <c:dLbls>
          <c:showLegendKey val="0"/>
          <c:showVal val="0"/>
          <c:showCatName val="0"/>
          <c:showSerName val="0"/>
          <c:showPercent val="0"/>
          <c:showBubbleSize val="0"/>
        </c:dLbls>
        <c:gapWidth val="182"/>
        <c:axId val="2083494815"/>
        <c:axId val="60442255"/>
      </c:barChart>
      <c:catAx>
        <c:axId val="208349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42255"/>
        <c:crosses val="autoZero"/>
        <c:auto val="1"/>
        <c:lblAlgn val="ctr"/>
        <c:lblOffset val="100"/>
        <c:noMultiLvlLbl val="0"/>
      </c:catAx>
      <c:valAx>
        <c:axId val="60442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4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[ProiectSSDexcel.xlsx]PivotTable2!PivotTable2</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PivotTable2!$B$3</c:f>
              <c:strCache>
                <c:ptCount val="1"/>
                <c:pt idx="0">
                  <c:v>Sum of Venit_Total(USD, milioane)</c:v>
                </c:pt>
              </c:strCache>
            </c:strRef>
          </c:tx>
          <c:spPr>
            <a:solidFill>
              <a:schemeClr val="accent1"/>
            </a:solidFill>
            <a:ln>
              <a:noFill/>
            </a:ln>
            <a:effectLst/>
          </c:spPr>
          <c:invertIfNegative val="0"/>
          <c:cat>
            <c:strRef>
              <c:f>PivotTable2!$A$4:$A$11</c:f>
              <c:strCache>
                <c:ptCount val="7"/>
                <c:pt idx="0">
                  <c:v>Cappy Pulpy Mere</c:v>
                </c:pt>
                <c:pt idx="1">
                  <c:v>Cappy Pulpy Portocale</c:v>
                </c:pt>
                <c:pt idx="2">
                  <c:v>Coca-Cola Clasic</c:v>
                </c:pt>
                <c:pt idx="3">
                  <c:v>Dorna Apă Plată</c:v>
                </c:pt>
                <c:pt idx="4">
                  <c:v>Fanta</c:v>
                </c:pt>
                <c:pt idx="5">
                  <c:v>Schweppes Tonic</c:v>
                </c:pt>
                <c:pt idx="6">
                  <c:v>Sprite</c:v>
                </c:pt>
              </c:strCache>
            </c:strRef>
          </c:cat>
          <c:val>
            <c:numRef>
              <c:f>PivotTable2!$B$4:$B$11</c:f>
              <c:numCache>
                <c:formatCode>General</c:formatCode>
                <c:ptCount val="7"/>
                <c:pt idx="0">
                  <c:v>569.27</c:v>
                </c:pt>
                <c:pt idx="1">
                  <c:v>907.28</c:v>
                </c:pt>
                <c:pt idx="2">
                  <c:v>2774.3700000000003</c:v>
                </c:pt>
                <c:pt idx="3">
                  <c:v>828.28000000000009</c:v>
                </c:pt>
                <c:pt idx="4">
                  <c:v>1231</c:v>
                </c:pt>
                <c:pt idx="5">
                  <c:v>785.88000000000011</c:v>
                </c:pt>
                <c:pt idx="6">
                  <c:v>1527.09</c:v>
                </c:pt>
              </c:numCache>
            </c:numRef>
          </c:val>
          <c:extLst>
            <c:ext xmlns:c16="http://schemas.microsoft.com/office/drawing/2014/chart" uri="{C3380CC4-5D6E-409C-BE32-E72D297353CC}">
              <c16:uniqueId val="{00000000-A3CA-4893-BF19-9160CB439571}"/>
            </c:ext>
          </c:extLst>
        </c:ser>
        <c:ser>
          <c:idx val="1"/>
          <c:order val="1"/>
          <c:tx>
            <c:strRef>
              <c:f>PivotTable2!$C$3</c:f>
              <c:strCache>
                <c:ptCount val="1"/>
                <c:pt idx="0">
                  <c:v>Sum of Profit_Brut</c:v>
                </c:pt>
              </c:strCache>
            </c:strRef>
          </c:tx>
          <c:spPr>
            <a:solidFill>
              <a:schemeClr val="accent2"/>
            </a:solidFill>
            <a:ln>
              <a:noFill/>
            </a:ln>
            <a:effectLst/>
          </c:spPr>
          <c:invertIfNegative val="0"/>
          <c:cat>
            <c:strRef>
              <c:f>PivotTable2!$A$4:$A$11</c:f>
              <c:strCache>
                <c:ptCount val="7"/>
                <c:pt idx="0">
                  <c:v>Cappy Pulpy Mere</c:v>
                </c:pt>
                <c:pt idx="1">
                  <c:v>Cappy Pulpy Portocale</c:v>
                </c:pt>
                <c:pt idx="2">
                  <c:v>Coca-Cola Clasic</c:v>
                </c:pt>
                <c:pt idx="3">
                  <c:v>Dorna Apă Plată</c:v>
                </c:pt>
                <c:pt idx="4">
                  <c:v>Fanta</c:v>
                </c:pt>
                <c:pt idx="5">
                  <c:v>Schweppes Tonic</c:v>
                </c:pt>
                <c:pt idx="6">
                  <c:v>Sprite</c:v>
                </c:pt>
              </c:strCache>
            </c:strRef>
          </c:cat>
          <c:val>
            <c:numRef>
              <c:f>PivotTable2!$C$4:$C$11</c:f>
              <c:numCache>
                <c:formatCode>General</c:formatCode>
                <c:ptCount val="7"/>
                <c:pt idx="0">
                  <c:v>319.22329999999999</c:v>
                </c:pt>
                <c:pt idx="1">
                  <c:v>478.84270000000004</c:v>
                </c:pt>
                <c:pt idx="2">
                  <c:v>1479.664</c:v>
                </c:pt>
                <c:pt idx="3">
                  <c:v>455.55399999999997</c:v>
                </c:pt>
                <c:pt idx="4">
                  <c:v>620.06179999999995</c:v>
                </c:pt>
                <c:pt idx="5">
                  <c:v>392.94</c:v>
                </c:pt>
                <c:pt idx="6">
                  <c:v>839.89920000000006</c:v>
                </c:pt>
              </c:numCache>
            </c:numRef>
          </c:val>
          <c:extLst>
            <c:ext xmlns:c16="http://schemas.microsoft.com/office/drawing/2014/chart" uri="{C3380CC4-5D6E-409C-BE32-E72D297353CC}">
              <c16:uniqueId val="{00000001-A3CA-4893-BF19-9160CB439571}"/>
            </c:ext>
          </c:extLst>
        </c:ser>
        <c:dLbls>
          <c:showLegendKey val="0"/>
          <c:showVal val="0"/>
          <c:showCatName val="0"/>
          <c:showSerName val="0"/>
          <c:showPercent val="0"/>
          <c:showBubbleSize val="0"/>
        </c:dLbls>
        <c:gapWidth val="182"/>
        <c:axId val="231676207"/>
        <c:axId val="2093511647"/>
      </c:barChart>
      <c:catAx>
        <c:axId val="23167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11647"/>
        <c:crosses val="autoZero"/>
        <c:auto val="1"/>
        <c:lblAlgn val="ctr"/>
        <c:lblOffset val="100"/>
        <c:noMultiLvlLbl val="0"/>
      </c:catAx>
      <c:valAx>
        <c:axId val="209351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7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[ProiectSSDexcel.xlsx]PivotTable3!PivotTable3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manualLayout>
          <c:layoutTarget val="inner"/>
          <c:xMode val="edge"/>
          <c:yMode val="edge"/>
          <c:x val="6.8014608625082018E-2"/>
          <c:y val="0.13490883905615222"/>
          <c:w val="0.72273548298406298"/>
          <c:h val="0.6891614856781747"/>
        </c:manualLayout>
      </c:layout>
      <c:barChart>
        <c:barDir val="col"/>
        <c:grouping val="clustered"/>
        <c:varyColors val="0"/>
        <c:ser>
          <c:idx val="0"/>
          <c:order val="0"/>
          <c:tx>
            <c:strRef>
              <c:f>PivotTable3!$B$3:$B$4</c:f>
              <c:strCache>
                <c:ptCount val="1"/>
                <c:pt idx="0">
                  <c:v>Cappy Pulpy Mere</c:v>
                </c:pt>
              </c:strCache>
            </c:strRef>
          </c:tx>
          <c:spPr>
            <a:solidFill>
              <a:schemeClr val="accent1"/>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PivotTable3!$B$5:$B$9</c:f>
              <c:numCache>
                <c:formatCode>General</c:formatCode>
                <c:ptCount val="4"/>
                <c:pt idx="0">
                  <c:v>98.014070000000004</c:v>
                </c:pt>
                <c:pt idx="1">
                  <c:v>48.89808</c:v>
                </c:pt>
                <c:pt idx="2">
                  <c:v>44.191839999999999</c:v>
                </c:pt>
                <c:pt idx="3">
                  <c:v>58.942729999999997</c:v>
                </c:pt>
              </c:numCache>
            </c:numRef>
          </c:val>
          <c:extLst>
            <c:ext xmlns:c16="http://schemas.microsoft.com/office/drawing/2014/chart" uri="{C3380CC4-5D6E-409C-BE32-E72D297353CC}">
              <c16:uniqueId val="{00000000-4671-4EFE-8B26-EE8AA454597F}"/>
            </c:ext>
          </c:extLst>
        </c:ser>
        <c:ser>
          <c:idx val="1"/>
          <c:order val="1"/>
          <c:tx>
            <c:strRef>
              <c:f>PivotTable3!$C$3:$C$4</c:f>
              <c:strCache>
                <c:ptCount val="1"/>
                <c:pt idx="0">
                  <c:v>Cappy Pulpy Portocale</c:v>
                </c:pt>
              </c:strCache>
            </c:strRef>
          </c:tx>
          <c:spPr>
            <a:solidFill>
              <a:schemeClr val="accent2"/>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PivotTable3!$C$5:$C$9</c:f>
              <c:numCache>
                <c:formatCode>General</c:formatCode>
                <c:ptCount val="4"/>
                <c:pt idx="0">
                  <c:v>151.90434999999999</c:v>
                </c:pt>
                <c:pt idx="1">
                  <c:v>97.603800000000007</c:v>
                </c:pt>
                <c:pt idx="2">
                  <c:v>70.487949999999998</c:v>
                </c:pt>
                <c:pt idx="3">
                  <c:v>108.4413</c:v>
                </c:pt>
              </c:numCache>
            </c:numRef>
          </c:val>
          <c:extLst>
            <c:ext xmlns:c16="http://schemas.microsoft.com/office/drawing/2014/chart" uri="{C3380CC4-5D6E-409C-BE32-E72D297353CC}">
              <c16:uniqueId val="{00000031-4671-4EFE-8B26-EE8AA454597F}"/>
            </c:ext>
          </c:extLst>
        </c:ser>
        <c:ser>
          <c:idx val="2"/>
          <c:order val="2"/>
          <c:tx>
            <c:strRef>
              <c:f>PivotTable3!$D$3:$D$4</c:f>
              <c:strCache>
                <c:ptCount val="1"/>
                <c:pt idx="0">
                  <c:v>Coca-Cola Clasic</c:v>
                </c:pt>
              </c:strCache>
            </c:strRef>
          </c:tx>
          <c:spPr>
            <a:solidFill>
              <a:schemeClr val="accent3"/>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PivotTable3!$D$5:$D$9</c:f>
              <c:numCache>
                <c:formatCode>General</c:formatCode>
                <c:ptCount val="4"/>
                <c:pt idx="0">
                  <c:v>580.48689999999999</c:v>
                </c:pt>
                <c:pt idx="1">
                  <c:v>223.2671</c:v>
                </c:pt>
                <c:pt idx="2">
                  <c:v>156.2869</c:v>
                </c:pt>
                <c:pt idx="3">
                  <c:v>334.6651</c:v>
                </c:pt>
              </c:numCache>
            </c:numRef>
          </c:val>
          <c:extLst>
            <c:ext xmlns:c16="http://schemas.microsoft.com/office/drawing/2014/chart" uri="{C3380CC4-5D6E-409C-BE32-E72D297353CC}">
              <c16:uniqueId val="{00000032-4671-4EFE-8B26-EE8AA454597F}"/>
            </c:ext>
          </c:extLst>
        </c:ser>
        <c:ser>
          <c:idx val="3"/>
          <c:order val="3"/>
          <c:tx>
            <c:strRef>
              <c:f>PivotTable3!$E$3:$E$4</c:f>
              <c:strCache>
                <c:ptCount val="1"/>
                <c:pt idx="0">
                  <c:v>Dorna Apă Plată</c:v>
                </c:pt>
              </c:strCache>
            </c:strRef>
          </c:tx>
          <c:spPr>
            <a:solidFill>
              <a:schemeClr val="accent4"/>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PivotTable3!$E$5:$E$9</c:f>
              <c:numCache>
                <c:formatCode>General</c:formatCode>
                <c:ptCount val="4"/>
                <c:pt idx="0">
                  <c:v>128.727</c:v>
                </c:pt>
                <c:pt idx="1">
                  <c:v>71.766000000000005</c:v>
                </c:pt>
                <c:pt idx="2">
                  <c:v>57.411000000000001</c:v>
                </c:pt>
                <c:pt idx="3">
                  <c:v>114.822</c:v>
                </c:pt>
              </c:numCache>
            </c:numRef>
          </c:val>
          <c:extLst>
            <c:ext xmlns:c16="http://schemas.microsoft.com/office/drawing/2014/chart" uri="{C3380CC4-5D6E-409C-BE32-E72D297353CC}">
              <c16:uniqueId val="{00000033-4671-4EFE-8B26-EE8AA454597F}"/>
            </c:ext>
          </c:extLst>
        </c:ser>
        <c:ser>
          <c:idx val="4"/>
          <c:order val="4"/>
          <c:tx>
            <c:strRef>
              <c:f>PivotTable3!$F$3:$F$4</c:f>
              <c:strCache>
                <c:ptCount val="1"/>
                <c:pt idx="0">
                  <c:v>Fanta</c:v>
                </c:pt>
              </c:strCache>
            </c:strRef>
          </c:tx>
          <c:spPr>
            <a:solidFill>
              <a:schemeClr val="accent5"/>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PivotTable3!$F$5:$F$9</c:f>
              <c:numCache>
                <c:formatCode>General</c:formatCode>
                <c:ptCount val="4"/>
                <c:pt idx="0">
                  <c:v>235.00183000000001</c:v>
                </c:pt>
                <c:pt idx="1">
                  <c:v>128.21789999999999</c:v>
                </c:pt>
                <c:pt idx="2">
                  <c:v>111.18516</c:v>
                </c:pt>
                <c:pt idx="3">
                  <c:v>136.53326999999999</c:v>
                </c:pt>
              </c:numCache>
            </c:numRef>
          </c:val>
          <c:extLst>
            <c:ext xmlns:c16="http://schemas.microsoft.com/office/drawing/2014/chart" uri="{C3380CC4-5D6E-409C-BE32-E72D297353CC}">
              <c16:uniqueId val="{00000034-4671-4EFE-8B26-EE8AA454597F}"/>
            </c:ext>
          </c:extLst>
        </c:ser>
        <c:ser>
          <c:idx val="5"/>
          <c:order val="5"/>
          <c:tx>
            <c:strRef>
              <c:f>PivotTable3!$G$3:$G$4</c:f>
              <c:strCache>
                <c:ptCount val="1"/>
                <c:pt idx="0">
                  <c:v>Schweppes Tonic</c:v>
                </c:pt>
              </c:strCache>
            </c:strRef>
          </c:tx>
          <c:spPr>
            <a:solidFill>
              <a:schemeClr val="accent6"/>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PivotTable3!$G$5:$G$9</c:f>
              <c:numCache>
                <c:formatCode>General</c:formatCode>
                <c:ptCount val="4"/>
                <c:pt idx="0">
                  <c:v>153.09520000000001</c:v>
                </c:pt>
                <c:pt idx="1">
                  <c:v>71.444800000000001</c:v>
                </c:pt>
                <c:pt idx="2">
                  <c:v>91.855199999999996</c:v>
                </c:pt>
                <c:pt idx="3">
                  <c:v>76.544799999999995</c:v>
                </c:pt>
              </c:numCache>
            </c:numRef>
          </c:val>
          <c:extLst>
            <c:ext xmlns:c16="http://schemas.microsoft.com/office/drawing/2014/chart" uri="{C3380CC4-5D6E-409C-BE32-E72D297353CC}">
              <c16:uniqueId val="{00000035-4671-4EFE-8B26-EE8AA454597F}"/>
            </c:ext>
          </c:extLst>
        </c:ser>
        <c:ser>
          <c:idx val="6"/>
          <c:order val="6"/>
          <c:tx>
            <c:strRef>
              <c:f>PivotTable3!$H$3:$H$4</c:f>
              <c:strCache>
                <c:ptCount val="1"/>
                <c:pt idx="0">
                  <c:v>Sprite</c:v>
                </c:pt>
              </c:strCache>
            </c:strRef>
          </c:tx>
          <c:spPr>
            <a:solidFill>
              <a:schemeClr val="accent1">
                <a:lumMod val="60000"/>
              </a:schemeClr>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PivotTable3!$H$5:$H$9</c:f>
              <c:numCache>
                <c:formatCode>General</c:formatCode>
                <c:ptCount val="4"/>
                <c:pt idx="0">
                  <c:v>241.12808999999999</c:v>
                </c:pt>
                <c:pt idx="1">
                  <c:v>152.64017999999999</c:v>
                </c:pt>
                <c:pt idx="2">
                  <c:v>112.581</c:v>
                </c:pt>
                <c:pt idx="3">
                  <c:v>180.8415</c:v>
                </c:pt>
              </c:numCache>
            </c:numRef>
          </c:val>
          <c:extLst>
            <c:ext xmlns:c16="http://schemas.microsoft.com/office/drawing/2014/chart" uri="{C3380CC4-5D6E-409C-BE32-E72D297353CC}">
              <c16:uniqueId val="{00000036-4671-4EFE-8B26-EE8AA454597F}"/>
            </c:ext>
          </c:extLst>
        </c:ser>
        <c:dLbls>
          <c:showLegendKey val="0"/>
          <c:showVal val="0"/>
          <c:showCatName val="0"/>
          <c:showSerName val="0"/>
          <c:showPercent val="0"/>
          <c:showBubbleSize val="0"/>
        </c:dLbls>
        <c:gapWidth val="219"/>
        <c:overlap val="-27"/>
        <c:axId val="67831535"/>
        <c:axId val="63275951"/>
      </c:barChart>
      <c:catAx>
        <c:axId val="678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5951"/>
        <c:crosses val="autoZero"/>
        <c:auto val="1"/>
        <c:lblAlgn val="ctr"/>
        <c:lblOffset val="100"/>
        <c:noMultiLvlLbl val="0"/>
      </c:catAx>
      <c:valAx>
        <c:axId val="6327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[ProiectSSDexcel.xlsx]PivotTable3!PivotTable3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PivotTable3!$B$3:$B$4</c:f>
              <c:strCache>
                <c:ptCount val="1"/>
                <c:pt idx="0">
                  <c:v>Cappy Pulpy Mere</c:v>
                </c:pt>
              </c:strCache>
            </c:strRef>
          </c:tx>
          <c:spPr>
            <a:solidFill>
              <a:schemeClr val="accent1"/>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PivotTable3!$B$5:$B$9</c:f>
              <c:numCache>
                <c:formatCode>General</c:formatCode>
                <c:ptCount val="4"/>
                <c:pt idx="0">
                  <c:v>98.014070000000004</c:v>
                </c:pt>
                <c:pt idx="1">
                  <c:v>48.89808</c:v>
                </c:pt>
                <c:pt idx="2">
                  <c:v>44.191839999999999</c:v>
                </c:pt>
                <c:pt idx="3">
                  <c:v>58.942729999999997</c:v>
                </c:pt>
              </c:numCache>
            </c:numRef>
          </c:val>
          <c:extLst>
            <c:ext xmlns:c16="http://schemas.microsoft.com/office/drawing/2014/chart" uri="{C3380CC4-5D6E-409C-BE32-E72D297353CC}">
              <c16:uniqueId val="{00000000-6652-4BA7-AB3A-6EAEDC7640CB}"/>
            </c:ext>
          </c:extLst>
        </c:ser>
        <c:ser>
          <c:idx val="1"/>
          <c:order val="1"/>
          <c:tx>
            <c:strRef>
              <c:f>PivotTable3!$C$3:$C$4</c:f>
              <c:strCache>
                <c:ptCount val="1"/>
                <c:pt idx="0">
                  <c:v>Cappy Pulpy Portocale</c:v>
                </c:pt>
              </c:strCache>
            </c:strRef>
          </c:tx>
          <c:spPr>
            <a:solidFill>
              <a:schemeClr val="accent2"/>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PivotTable3!$C$5:$C$9</c:f>
              <c:numCache>
                <c:formatCode>General</c:formatCode>
                <c:ptCount val="4"/>
                <c:pt idx="0">
                  <c:v>151.90434999999999</c:v>
                </c:pt>
                <c:pt idx="1">
                  <c:v>97.603800000000007</c:v>
                </c:pt>
                <c:pt idx="2">
                  <c:v>70.487949999999998</c:v>
                </c:pt>
                <c:pt idx="3">
                  <c:v>108.4413</c:v>
                </c:pt>
              </c:numCache>
            </c:numRef>
          </c:val>
          <c:extLst>
            <c:ext xmlns:c16="http://schemas.microsoft.com/office/drawing/2014/chart" uri="{C3380CC4-5D6E-409C-BE32-E72D297353CC}">
              <c16:uniqueId val="{00000031-6652-4BA7-AB3A-6EAEDC7640CB}"/>
            </c:ext>
          </c:extLst>
        </c:ser>
        <c:ser>
          <c:idx val="2"/>
          <c:order val="2"/>
          <c:tx>
            <c:strRef>
              <c:f>PivotTable3!$D$3:$D$4</c:f>
              <c:strCache>
                <c:ptCount val="1"/>
                <c:pt idx="0">
                  <c:v>Coca-Cola Clasic</c:v>
                </c:pt>
              </c:strCache>
            </c:strRef>
          </c:tx>
          <c:spPr>
            <a:solidFill>
              <a:schemeClr val="accent3"/>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PivotTable3!$D$5:$D$9</c:f>
              <c:numCache>
                <c:formatCode>General</c:formatCode>
                <c:ptCount val="4"/>
                <c:pt idx="0">
                  <c:v>580.48689999999999</c:v>
                </c:pt>
                <c:pt idx="1">
                  <c:v>223.2671</c:v>
                </c:pt>
                <c:pt idx="2">
                  <c:v>156.2869</c:v>
                </c:pt>
                <c:pt idx="3">
                  <c:v>334.6651</c:v>
                </c:pt>
              </c:numCache>
            </c:numRef>
          </c:val>
          <c:extLst>
            <c:ext xmlns:c16="http://schemas.microsoft.com/office/drawing/2014/chart" uri="{C3380CC4-5D6E-409C-BE32-E72D297353CC}">
              <c16:uniqueId val="{00000032-6652-4BA7-AB3A-6EAEDC7640CB}"/>
            </c:ext>
          </c:extLst>
        </c:ser>
        <c:ser>
          <c:idx val="3"/>
          <c:order val="3"/>
          <c:tx>
            <c:strRef>
              <c:f>PivotTable3!$E$3:$E$4</c:f>
              <c:strCache>
                <c:ptCount val="1"/>
                <c:pt idx="0">
                  <c:v>Dorna Apă Plată</c:v>
                </c:pt>
              </c:strCache>
            </c:strRef>
          </c:tx>
          <c:spPr>
            <a:solidFill>
              <a:schemeClr val="accent4"/>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PivotTable3!$E$5:$E$9</c:f>
              <c:numCache>
                <c:formatCode>General</c:formatCode>
                <c:ptCount val="4"/>
                <c:pt idx="0">
                  <c:v>128.727</c:v>
                </c:pt>
                <c:pt idx="1">
                  <c:v>71.766000000000005</c:v>
                </c:pt>
                <c:pt idx="2">
                  <c:v>57.411000000000001</c:v>
                </c:pt>
                <c:pt idx="3">
                  <c:v>114.822</c:v>
                </c:pt>
              </c:numCache>
            </c:numRef>
          </c:val>
          <c:extLst>
            <c:ext xmlns:c16="http://schemas.microsoft.com/office/drawing/2014/chart" uri="{C3380CC4-5D6E-409C-BE32-E72D297353CC}">
              <c16:uniqueId val="{00000033-6652-4BA7-AB3A-6EAEDC7640CB}"/>
            </c:ext>
          </c:extLst>
        </c:ser>
        <c:ser>
          <c:idx val="4"/>
          <c:order val="4"/>
          <c:tx>
            <c:strRef>
              <c:f>PivotTable3!$F$3:$F$4</c:f>
              <c:strCache>
                <c:ptCount val="1"/>
                <c:pt idx="0">
                  <c:v>Fanta</c:v>
                </c:pt>
              </c:strCache>
            </c:strRef>
          </c:tx>
          <c:spPr>
            <a:solidFill>
              <a:schemeClr val="accent5"/>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PivotTable3!$F$5:$F$9</c:f>
              <c:numCache>
                <c:formatCode>General</c:formatCode>
                <c:ptCount val="4"/>
                <c:pt idx="0">
                  <c:v>235.00183000000001</c:v>
                </c:pt>
                <c:pt idx="1">
                  <c:v>128.21789999999999</c:v>
                </c:pt>
                <c:pt idx="2">
                  <c:v>111.18516</c:v>
                </c:pt>
                <c:pt idx="3">
                  <c:v>136.53326999999999</c:v>
                </c:pt>
              </c:numCache>
            </c:numRef>
          </c:val>
          <c:extLst>
            <c:ext xmlns:c16="http://schemas.microsoft.com/office/drawing/2014/chart" uri="{C3380CC4-5D6E-409C-BE32-E72D297353CC}">
              <c16:uniqueId val="{00000034-6652-4BA7-AB3A-6EAEDC7640CB}"/>
            </c:ext>
          </c:extLst>
        </c:ser>
        <c:ser>
          <c:idx val="5"/>
          <c:order val="5"/>
          <c:tx>
            <c:strRef>
              <c:f>PivotTable3!$G$3:$G$4</c:f>
              <c:strCache>
                <c:ptCount val="1"/>
                <c:pt idx="0">
                  <c:v>Schweppes Tonic</c:v>
                </c:pt>
              </c:strCache>
            </c:strRef>
          </c:tx>
          <c:spPr>
            <a:solidFill>
              <a:schemeClr val="accent6"/>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PivotTable3!$G$5:$G$9</c:f>
              <c:numCache>
                <c:formatCode>General</c:formatCode>
                <c:ptCount val="4"/>
                <c:pt idx="0">
                  <c:v>153.09520000000001</c:v>
                </c:pt>
                <c:pt idx="1">
                  <c:v>71.444800000000001</c:v>
                </c:pt>
                <c:pt idx="2">
                  <c:v>91.855199999999996</c:v>
                </c:pt>
                <c:pt idx="3">
                  <c:v>76.544799999999995</c:v>
                </c:pt>
              </c:numCache>
            </c:numRef>
          </c:val>
          <c:extLst>
            <c:ext xmlns:c16="http://schemas.microsoft.com/office/drawing/2014/chart" uri="{C3380CC4-5D6E-409C-BE32-E72D297353CC}">
              <c16:uniqueId val="{00000035-6652-4BA7-AB3A-6EAEDC7640CB}"/>
            </c:ext>
          </c:extLst>
        </c:ser>
        <c:ser>
          <c:idx val="6"/>
          <c:order val="6"/>
          <c:tx>
            <c:strRef>
              <c:f>PivotTable3!$H$3:$H$4</c:f>
              <c:strCache>
                <c:ptCount val="1"/>
                <c:pt idx="0">
                  <c:v>Sprite</c:v>
                </c:pt>
              </c:strCache>
            </c:strRef>
          </c:tx>
          <c:spPr>
            <a:solidFill>
              <a:schemeClr val="accent1">
                <a:lumMod val="60000"/>
              </a:schemeClr>
            </a:solidFill>
            <a:ln>
              <a:noFill/>
            </a:ln>
            <a:effectLst/>
          </c:spPr>
          <c:invertIfNegative val="0"/>
          <c:cat>
            <c:strRef>
              <c:f>PivotTable3!$A$5:$A$9</c:f>
              <c:strCache>
                <c:ptCount val="4"/>
                <c:pt idx="0">
                  <c:v>America de Nord</c:v>
                </c:pt>
                <c:pt idx="1">
                  <c:v>America Latină</c:v>
                </c:pt>
                <c:pt idx="2">
                  <c:v>Asia-Pacific</c:v>
                </c:pt>
                <c:pt idx="3">
                  <c:v>Europa, Orientul Mijlociu &amp; Africa</c:v>
                </c:pt>
              </c:strCache>
            </c:strRef>
          </c:cat>
          <c:val>
            <c:numRef>
              <c:f>PivotTable3!$H$5:$H$9</c:f>
              <c:numCache>
                <c:formatCode>General</c:formatCode>
                <c:ptCount val="4"/>
                <c:pt idx="0">
                  <c:v>241.12808999999999</c:v>
                </c:pt>
                <c:pt idx="1">
                  <c:v>152.64017999999999</c:v>
                </c:pt>
                <c:pt idx="2">
                  <c:v>112.581</c:v>
                </c:pt>
                <c:pt idx="3">
                  <c:v>180.8415</c:v>
                </c:pt>
              </c:numCache>
            </c:numRef>
          </c:val>
          <c:extLst>
            <c:ext xmlns:c16="http://schemas.microsoft.com/office/drawing/2014/chart" uri="{C3380CC4-5D6E-409C-BE32-E72D297353CC}">
              <c16:uniqueId val="{00000036-6652-4BA7-AB3A-6EAEDC7640CB}"/>
            </c:ext>
          </c:extLst>
        </c:ser>
        <c:dLbls>
          <c:showLegendKey val="0"/>
          <c:showVal val="0"/>
          <c:showCatName val="0"/>
          <c:showSerName val="0"/>
          <c:showPercent val="0"/>
          <c:showBubbleSize val="0"/>
        </c:dLbls>
        <c:gapWidth val="219"/>
        <c:overlap val="-27"/>
        <c:axId val="67831535"/>
        <c:axId val="63275951"/>
      </c:barChart>
      <c:catAx>
        <c:axId val="678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5951"/>
        <c:crosses val="autoZero"/>
        <c:auto val="1"/>
        <c:lblAlgn val="ctr"/>
        <c:lblOffset val="100"/>
        <c:noMultiLvlLbl val="0"/>
      </c:catAx>
      <c:valAx>
        <c:axId val="6327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61912</xdr:colOff>
      <xdr:row>9</xdr:row>
      <xdr:rowOff>23812</xdr:rowOff>
    </xdr:from>
    <xdr:to>
      <xdr:col>3</xdr:col>
      <xdr:colOff>457200</xdr:colOff>
      <xdr:row>25</xdr:row>
      <xdr:rowOff>114300</xdr:rowOff>
    </xdr:to>
    <xdr:graphicFrame macro="">
      <xdr:nvGraphicFramePr>
        <xdr:cNvPr id="2" name="Chart 1">
          <a:extLst>
            <a:ext uri="{FF2B5EF4-FFF2-40B4-BE49-F238E27FC236}">
              <a16:creationId xmlns:a16="http://schemas.microsoft.com/office/drawing/2014/main" id="{0E916F93-E32D-44A0-AB81-8C50DC385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6</xdr:row>
      <xdr:rowOff>14287</xdr:rowOff>
    </xdr:from>
    <xdr:to>
      <xdr:col>3</xdr:col>
      <xdr:colOff>9525</xdr:colOff>
      <xdr:row>23</xdr:row>
      <xdr:rowOff>28575</xdr:rowOff>
    </xdr:to>
    <xdr:graphicFrame macro="">
      <xdr:nvGraphicFramePr>
        <xdr:cNvPr id="4" name="Chart 3">
          <a:extLst>
            <a:ext uri="{FF2B5EF4-FFF2-40B4-BE49-F238E27FC236}">
              <a16:creationId xmlns:a16="http://schemas.microsoft.com/office/drawing/2014/main" id="{B586BF05-8E52-4349-8AA2-49478DCE2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752475</xdr:colOff>
      <xdr:row>5</xdr:row>
      <xdr:rowOff>161925</xdr:rowOff>
    </xdr:from>
    <xdr:to>
      <xdr:col>7</xdr:col>
      <xdr:colOff>152400</xdr:colOff>
      <xdr:row>23</xdr:row>
      <xdr:rowOff>38100</xdr:rowOff>
    </xdr:to>
    <xdr:graphicFrame macro="">
      <xdr:nvGraphicFramePr>
        <xdr:cNvPr id="5" name="Chart 4">
          <a:extLst>
            <a:ext uri="{FF2B5EF4-FFF2-40B4-BE49-F238E27FC236}">
              <a16:creationId xmlns:a16="http://schemas.microsoft.com/office/drawing/2014/main" id="{DEA2024C-29EC-4ECA-8DBC-1984B1409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223837</xdr:colOff>
      <xdr:row>11</xdr:row>
      <xdr:rowOff>157162</xdr:rowOff>
    </xdr:from>
    <xdr:to>
      <xdr:col>4</xdr:col>
      <xdr:colOff>38100</xdr:colOff>
      <xdr:row>28</xdr:row>
      <xdr:rowOff>57150</xdr:rowOff>
    </xdr:to>
    <xdr:graphicFrame macro="">
      <xdr:nvGraphicFramePr>
        <xdr:cNvPr id="4" name="Chart 3">
          <a:extLst>
            <a:ext uri="{FF2B5EF4-FFF2-40B4-BE49-F238E27FC236}">
              <a16:creationId xmlns:a16="http://schemas.microsoft.com/office/drawing/2014/main" id="{73155BC6-77FC-48F6-AC09-5019D6691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85724</xdr:colOff>
      <xdr:row>11</xdr:row>
      <xdr:rowOff>142875</xdr:rowOff>
    </xdr:from>
    <xdr:to>
      <xdr:col>11</xdr:col>
      <xdr:colOff>514350</xdr:colOff>
      <xdr:row>20</xdr:row>
      <xdr:rowOff>0</xdr:rowOff>
    </xdr:to>
    <xdr:graphicFrame macro="">
      <xdr:nvGraphicFramePr>
        <xdr:cNvPr id="2" name="Chart 1">
          <a:extLst>
            <a:ext uri="{FF2B5EF4-FFF2-40B4-BE49-F238E27FC236}">
              <a16:creationId xmlns:a16="http://schemas.microsoft.com/office/drawing/2014/main" id="{49E1622C-ECEC-433C-88D4-EAEFADC2C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0</xdr:row>
      <xdr:rowOff>0</xdr:rowOff>
    </xdr:from>
    <xdr:to>
      <xdr:col>11</xdr:col>
      <xdr:colOff>504824</xdr:colOff>
      <xdr:row>11</xdr:row>
      <xdr:rowOff>123825</xdr:rowOff>
    </xdr:to>
    <xdr:graphicFrame macro="">
      <xdr:nvGraphicFramePr>
        <xdr:cNvPr id="3" name="Chart 2">
          <a:extLst>
            <a:ext uri="{FF2B5EF4-FFF2-40B4-BE49-F238E27FC236}">
              <a16:creationId xmlns:a16="http://schemas.microsoft.com/office/drawing/2014/main" id="{3B8006CC-F1C9-4B81-A4F1-10F3A7CA2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114300</xdr:colOff>
      <xdr:row>20</xdr:row>
      <xdr:rowOff>57150</xdr:rowOff>
    </xdr:from>
    <xdr:to>
      <xdr:col>12</xdr:col>
      <xdr:colOff>371475</xdr:colOff>
      <xdr:row>35</xdr:row>
      <xdr:rowOff>66675</xdr:rowOff>
    </xdr:to>
    <xdr:graphicFrame macro="">
      <xdr:nvGraphicFramePr>
        <xdr:cNvPr id="4" name="Chart 3">
          <a:extLst>
            <a:ext uri="{FF2B5EF4-FFF2-40B4-BE49-F238E27FC236}">
              <a16:creationId xmlns:a16="http://schemas.microsoft.com/office/drawing/2014/main" id="{FCAA1AD3-BE12-483B-823E-C8B08599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0</xdr:row>
      <xdr:rowOff>1</xdr:rowOff>
    </xdr:from>
    <xdr:to>
      <xdr:col>3</xdr:col>
      <xdr:colOff>0</xdr:colOff>
      <xdr:row>11</xdr:row>
      <xdr:rowOff>95251</xdr:rowOff>
    </xdr:to>
    <mc:AlternateContent xmlns:mc="http://schemas.openxmlformats.org/markup-compatibility/2006">
      <mc:Choice xmlns:a14="http://schemas.microsoft.com/office/drawing/2010/main" Requires="a14">
        <xdr:graphicFrame macro="">
          <xdr:nvGraphicFramePr>
            <xdr:cNvPr id="5" name="Nume">
              <a:extLst>
                <a:ext uri="{FF2B5EF4-FFF2-40B4-BE49-F238E27FC236}">
                  <a16:creationId xmlns:a16="http://schemas.microsoft.com/office/drawing/2014/main" id="{2F9E7E11-FBD0-43FB-90F0-05714A0E72A1}"/>
                </a:ext>
              </a:extLst>
            </xdr:cNvPr>
            <xdr:cNvGraphicFramePr/>
          </xdr:nvGraphicFramePr>
          <xdr:xfrm>
            <a:off x="0" y="0"/>
            <a:ext cx="0" cy="0"/>
          </xdr:xfrm>
          <a:graphic>
            <a:graphicData uri="http://schemas.microsoft.com/office/drawing/2010/slicer">
              <sle:slicer xmlns:sle="http://schemas.microsoft.com/office/drawing/2010/slicer" name="Nume"/>
            </a:graphicData>
          </a:graphic>
        </xdr:graphicFrame>
      </mc:Choice>
      <mc:Fallback>
        <xdr:sp macro="" textlink="">
          <xdr:nvSpPr>
            <xdr:cNvPr id="0" name=""/>
            <xdr:cNvSpPr>
              <a:spLocks noTextEdit="1"/>
            </xdr:cNvSpPr>
          </xdr:nvSpPr>
          <xdr:spPr>
            <a:xfrm>
              <a:off x="19050" y="1"/>
              <a:ext cx="1809750" cy="219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161926</xdr:rowOff>
    </xdr:from>
    <xdr:to>
      <xdr:col>3</xdr:col>
      <xdr:colOff>38100</xdr:colOff>
      <xdr:row>19</xdr:row>
      <xdr:rowOff>123826</xdr:rowOff>
    </xdr:to>
    <mc:AlternateContent xmlns:mc="http://schemas.openxmlformats.org/markup-compatibility/2006">
      <mc:Choice xmlns:a14="http://schemas.microsoft.com/office/drawing/2010/main" Requires="a14">
        <xdr:graphicFrame macro="">
          <xdr:nvGraphicFramePr>
            <xdr:cNvPr id="7" name="Nume_regiune">
              <a:extLst>
                <a:ext uri="{FF2B5EF4-FFF2-40B4-BE49-F238E27FC236}">
                  <a16:creationId xmlns:a16="http://schemas.microsoft.com/office/drawing/2014/main" id="{BFCB3605-EEA9-46C8-A458-230E84B3A879}"/>
                </a:ext>
              </a:extLst>
            </xdr:cNvPr>
            <xdr:cNvGraphicFramePr/>
          </xdr:nvGraphicFramePr>
          <xdr:xfrm>
            <a:off x="0" y="0"/>
            <a:ext cx="0" cy="0"/>
          </xdr:xfrm>
          <a:graphic>
            <a:graphicData uri="http://schemas.microsoft.com/office/drawing/2010/slicer">
              <sle:slicer xmlns:sle="http://schemas.microsoft.com/office/drawing/2010/slicer" name="Nume_regiune"/>
            </a:graphicData>
          </a:graphic>
        </xdr:graphicFrame>
      </mc:Choice>
      <mc:Fallback>
        <xdr:sp macro="" textlink="">
          <xdr:nvSpPr>
            <xdr:cNvPr id="0" name=""/>
            <xdr:cNvSpPr>
              <a:spLocks noTextEdit="1"/>
            </xdr:cNvSpPr>
          </xdr:nvSpPr>
          <xdr:spPr>
            <a:xfrm>
              <a:off x="0" y="2257426"/>
              <a:ext cx="18669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681036</xdr:colOff>
      <xdr:row>10</xdr:row>
      <xdr:rowOff>61912</xdr:rowOff>
    </xdr:from>
    <xdr:to>
      <xdr:col>5</xdr:col>
      <xdr:colOff>638174</xdr:colOff>
      <xdr:row>28</xdr:row>
      <xdr:rowOff>95250</xdr:rowOff>
    </xdr:to>
    <xdr:graphicFrame macro="">
      <xdr:nvGraphicFramePr>
        <xdr:cNvPr id="3" name="Chart 2">
          <a:extLst>
            <a:ext uri="{FF2B5EF4-FFF2-40B4-BE49-F238E27FC236}">
              <a16:creationId xmlns:a16="http://schemas.microsoft.com/office/drawing/2014/main" id="{0778BF17-E5C7-42D1-955D-86FA39A11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bu" refreshedDate="45665.644421527781" createdVersion="6" refreshedVersion="6" minRefreshableVersion="3" recordCount="28" xr:uid="{19F3A336-618A-4CD6-A83E-7EBE1336D1B2}">
  <cacheSource type="worksheet">
    <worksheetSource name="Table11"/>
  </cacheSource>
  <cacheFields count="6">
    <cacheField name="Nume_regiune" numFmtId="0">
      <sharedItems count="4">
        <s v="Europa, Orientul Mijlociu &amp; Africa"/>
        <s v="America Latină"/>
        <s v="America de Nord"/>
        <s v="Asia-Pacific"/>
      </sharedItems>
    </cacheField>
    <cacheField name="Nume" numFmtId="0">
      <sharedItems count="7">
        <s v="Coca-Cola Clasic"/>
        <s v="Sprite"/>
        <s v="Fanta"/>
        <s v="Cappy Pulpy Portocale"/>
        <s v="Cappy Pulpy Mere"/>
        <s v="Dorna Apă Plată"/>
        <s v="Schweppes Tonic"/>
      </sharedItems>
    </cacheField>
    <cacheField name="Venit_Total(USD, milioane)" numFmtId="164">
      <sharedItems containsSemiMixedTypes="0" containsString="0" containsNumber="1" minValue="100.42" maxValue="1243.9000000000001" count="28">
        <n v="717.14"/>
        <n v="478.43"/>
        <n v="1243.9000000000001"/>
        <n v="334.9"/>
        <n v="401.87"/>
        <n v="339.2"/>
        <n v="535.84"/>
        <n v="250.18"/>
        <n v="275.11"/>
        <n v="258.35000000000002"/>
        <n v="473.51"/>
        <n v="224.03"/>
        <n v="229.64"/>
        <n v="206.69"/>
        <n v="321.68"/>
        <n v="149.27000000000001"/>
        <n v="133.96"/>
        <n v="111.63"/>
        <n v="223.26"/>
        <n v="100.42"/>
        <n v="255.16"/>
        <n v="159.47999999999999"/>
        <n v="286.06"/>
        <n v="127.58"/>
        <n v="153.09"/>
        <n v="142.88999999999999"/>
        <n v="306.19"/>
        <n v="183.71"/>
      </sharedItems>
    </cacheField>
    <cacheField name="Cantitate(litri)" numFmtId="0">
      <sharedItems containsSemiMixedTypes="0" containsString="0" containsNumber="1" containsInteger="1" minValue="57392" maxValue="829267"/>
    </cacheField>
    <cacheField name="Costuri_Totale" numFmtId="164">
      <sharedItems containsSemiMixedTypes="0" containsString="0" containsNumber="1" minValue="44.191839999999999" maxValue="580.48689999999999"/>
    </cacheField>
    <cacheField name="Profit_Brut" numFmtId="164">
      <sharedItems containsSemiMixedTypes="0" containsString="0" containsNumber="1" minValue="56.228200000000001" maxValue="663.41309999999999"/>
    </cacheField>
  </cacheFields>
  <extLst>
    <ext xmlns:x14="http://schemas.microsoft.com/office/spreadsheetml/2009/9/main" uri="{725AE2AE-9491-48be-B2B4-4EB974FC3084}">
      <x14:pivotCacheDefinition pivotCacheId="316480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x v="0"/>
    <x v="0"/>
    <n v="478093"/>
    <n v="334.6651"/>
    <n v="382.47489999999999"/>
  </r>
  <r>
    <x v="1"/>
    <x v="0"/>
    <x v="1"/>
    <n v="318953"/>
    <n v="223.2671"/>
    <n v="255.16290000000001"/>
  </r>
  <r>
    <x v="2"/>
    <x v="0"/>
    <x v="2"/>
    <n v="829267"/>
    <n v="580.48689999999999"/>
    <n v="663.41309999999999"/>
  </r>
  <r>
    <x v="3"/>
    <x v="0"/>
    <x v="3"/>
    <n v="223267"/>
    <n v="156.2869"/>
    <n v="178.6131"/>
  </r>
  <r>
    <x v="0"/>
    <x v="1"/>
    <x v="4"/>
    <n v="287050"/>
    <n v="180.8415"/>
    <n v="221.02850000000001"/>
  </r>
  <r>
    <x v="1"/>
    <x v="1"/>
    <x v="5"/>
    <n v="242286"/>
    <n v="152.64017999999999"/>
    <n v="186.5598"/>
  </r>
  <r>
    <x v="2"/>
    <x v="1"/>
    <x v="6"/>
    <n v="382743"/>
    <n v="241.12808999999999"/>
    <n v="294.71190000000001"/>
  </r>
  <r>
    <x v="3"/>
    <x v="1"/>
    <x v="7"/>
    <n v="178700"/>
    <n v="112.581"/>
    <n v="137.59899999999999"/>
  </r>
  <r>
    <x v="0"/>
    <x v="2"/>
    <x v="8"/>
    <n v="203781"/>
    <n v="136.53326999999999"/>
    <n v="138.57669999999999"/>
  </r>
  <r>
    <x v="1"/>
    <x v="2"/>
    <x v="9"/>
    <n v="191370"/>
    <n v="128.21789999999999"/>
    <n v="130.13210000000001"/>
  </r>
  <r>
    <x v="2"/>
    <x v="2"/>
    <x v="10"/>
    <n v="350749"/>
    <n v="235.00183000000001"/>
    <n v="238.50819999999999"/>
  </r>
  <r>
    <x v="3"/>
    <x v="2"/>
    <x v="11"/>
    <n v="165948"/>
    <n v="111.18516"/>
    <n v="112.84480000000001"/>
  </r>
  <r>
    <x v="0"/>
    <x v="3"/>
    <x v="12"/>
    <n v="127578"/>
    <n v="108.4413"/>
    <n v="121.1987"/>
  </r>
  <r>
    <x v="1"/>
    <x v="3"/>
    <x v="13"/>
    <n v="114828"/>
    <n v="97.603800000000007"/>
    <n v="109.08620000000001"/>
  </r>
  <r>
    <x v="2"/>
    <x v="3"/>
    <x v="14"/>
    <n v="178711"/>
    <n v="151.90434999999999"/>
    <n v="169.7757"/>
  </r>
  <r>
    <x v="3"/>
    <x v="3"/>
    <x v="15"/>
    <n v="82927"/>
    <n v="70.487949999999998"/>
    <n v="78.7821"/>
  </r>
  <r>
    <x v="0"/>
    <x v="4"/>
    <x v="16"/>
    <n v="76549"/>
    <n v="58.942729999999997"/>
    <n v="75.017300000000006"/>
  </r>
  <r>
    <x v="1"/>
    <x v="4"/>
    <x v="17"/>
    <n v="63504"/>
    <n v="48.89808"/>
    <n v="62.731900000000003"/>
  </r>
  <r>
    <x v="2"/>
    <x v="4"/>
    <x v="18"/>
    <n v="127291"/>
    <n v="98.014070000000004"/>
    <n v="125.24590000000001"/>
  </r>
  <r>
    <x v="3"/>
    <x v="4"/>
    <x v="19"/>
    <n v="57392"/>
    <n v="44.191839999999999"/>
    <n v="56.228200000000001"/>
  </r>
  <r>
    <x v="0"/>
    <x v="5"/>
    <x v="20"/>
    <n v="255160"/>
    <n v="114.822"/>
    <n v="140.33799999999999"/>
  </r>
  <r>
    <x v="1"/>
    <x v="5"/>
    <x v="21"/>
    <n v="159480"/>
    <n v="71.766000000000005"/>
    <n v="87.713999999999999"/>
  </r>
  <r>
    <x v="2"/>
    <x v="5"/>
    <x v="22"/>
    <n v="286060"/>
    <n v="128.727"/>
    <n v="157.333"/>
  </r>
  <r>
    <x v="3"/>
    <x v="5"/>
    <x v="23"/>
    <n v="127580"/>
    <n v="57.411000000000001"/>
    <n v="70.168999999999997"/>
  </r>
  <r>
    <x v="0"/>
    <x v="6"/>
    <x v="24"/>
    <n v="95681"/>
    <n v="76.544799999999995"/>
    <n v="76.545199999999994"/>
  </r>
  <r>
    <x v="1"/>
    <x v="6"/>
    <x v="25"/>
    <n v="89306"/>
    <n v="71.444800000000001"/>
    <n v="71.4452"/>
  </r>
  <r>
    <x v="2"/>
    <x v="6"/>
    <x v="26"/>
    <n v="191369"/>
    <n v="153.09520000000001"/>
    <n v="153.09479999999999"/>
  </r>
  <r>
    <x v="3"/>
    <x v="6"/>
    <x v="27"/>
    <n v="114819"/>
    <n v="91.855199999999996"/>
    <n v="91.8547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8E997-5F06-468B-940C-DEE04C768ACE}"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6">
    <pivotField axis="axisRow" showAll="0">
      <items count="5">
        <item x="2"/>
        <item x="1"/>
        <item x="3"/>
        <item x="0"/>
        <item t="default"/>
      </items>
    </pivotField>
    <pivotField showAll="0">
      <items count="8">
        <item x="4"/>
        <item x="3"/>
        <item x="0"/>
        <item x="5"/>
        <item x="2"/>
        <item x="6"/>
        <item x="1"/>
        <item t="default"/>
      </items>
    </pivotField>
    <pivotField dataField="1" numFmtId="164" showAll="0">
      <items count="29">
        <item x="19"/>
        <item x="17"/>
        <item x="23"/>
        <item x="16"/>
        <item x="25"/>
        <item x="15"/>
        <item x="24"/>
        <item x="21"/>
        <item x="27"/>
        <item x="13"/>
        <item x="18"/>
        <item x="11"/>
        <item x="12"/>
        <item x="7"/>
        <item x="20"/>
        <item x="9"/>
        <item x="8"/>
        <item x="22"/>
        <item x="26"/>
        <item x="14"/>
        <item x="3"/>
        <item x="5"/>
        <item x="4"/>
        <item x="10"/>
        <item x="1"/>
        <item x="6"/>
        <item x="0"/>
        <item x="2"/>
        <item t="default"/>
      </items>
    </pivotField>
    <pivotField showAll="0"/>
    <pivotField numFmtId="164" showAll="0"/>
    <pivotField dataField="1" numFmtId="164" showAll="0"/>
  </pivotFields>
  <rowFields count="1">
    <field x="0"/>
  </rowFields>
  <rowItems count="5">
    <i>
      <x/>
    </i>
    <i>
      <x v="1"/>
    </i>
    <i>
      <x v="2"/>
    </i>
    <i>
      <x v="3"/>
    </i>
    <i t="grand">
      <x/>
    </i>
  </rowItems>
  <colFields count="1">
    <field x="-2"/>
  </colFields>
  <colItems count="2">
    <i>
      <x/>
    </i>
    <i i="1">
      <x v="1"/>
    </i>
  </colItems>
  <dataFields count="2">
    <dataField name="Sum of Venit_Total(USD, milioane)" fld="2" baseField="0" baseItem="0"/>
    <dataField name="Sum of Profit_Bru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F46FA1-C807-45BE-80A1-9BC72865C39F}"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11" firstHeaderRow="0" firstDataRow="1" firstDataCol="1"/>
  <pivotFields count="6">
    <pivotField showAll="0">
      <items count="5">
        <item x="2"/>
        <item x="1"/>
        <item x="3"/>
        <item x="0"/>
        <item t="default"/>
      </items>
    </pivotField>
    <pivotField axis="axisRow" showAll="0">
      <items count="8">
        <item x="4"/>
        <item x="3"/>
        <item x="0"/>
        <item x="5"/>
        <item x="2"/>
        <item x="6"/>
        <item x="1"/>
        <item t="default"/>
      </items>
    </pivotField>
    <pivotField dataField="1" numFmtId="164" showAll="0"/>
    <pivotField showAll="0"/>
    <pivotField numFmtId="164" showAll="0"/>
    <pivotField dataField="1" numFmtId="164" showAll="0"/>
  </pivotFields>
  <rowFields count="1">
    <field x="1"/>
  </rowFields>
  <rowItems count="8">
    <i>
      <x/>
    </i>
    <i>
      <x v="1"/>
    </i>
    <i>
      <x v="2"/>
    </i>
    <i>
      <x v="3"/>
    </i>
    <i>
      <x v="4"/>
    </i>
    <i>
      <x v="5"/>
    </i>
    <i>
      <x v="6"/>
    </i>
    <i t="grand">
      <x/>
    </i>
  </rowItems>
  <colFields count="1">
    <field x="-2"/>
  </colFields>
  <colItems count="2">
    <i>
      <x/>
    </i>
    <i i="1">
      <x v="1"/>
    </i>
  </colItems>
  <dataFields count="2">
    <dataField name="Sum of Venit_Total(USD, milioane)" fld="2" baseField="0" baseItem="0"/>
    <dataField name="Sum of Profit_Brut" fld="5"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Venituri și profit pe regiuni"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52042-4764-4F17-89C0-58D62F7318CE}"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I9" firstHeaderRow="1" firstDataRow="2" firstDataCol="1"/>
  <pivotFields count="6">
    <pivotField axis="axisRow" showAll="0">
      <items count="5">
        <item x="2"/>
        <item x="1"/>
        <item x="3"/>
        <item x="0"/>
        <item t="default"/>
      </items>
    </pivotField>
    <pivotField axis="axisCol" showAll="0">
      <items count="8">
        <item x="4"/>
        <item x="3"/>
        <item x="0"/>
        <item x="5"/>
        <item x="2"/>
        <item x="6"/>
        <item x="1"/>
        <item t="default"/>
      </items>
    </pivotField>
    <pivotField numFmtId="164" showAll="0"/>
    <pivotField showAll="0"/>
    <pivotField dataField="1" numFmtId="164" showAll="0"/>
    <pivotField numFmtId="164" showAll="0"/>
  </pivotFields>
  <rowFields count="1">
    <field x="0"/>
  </rowFields>
  <rowItems count="5">
    <i>
      <x/>
    </i>
    <i>
      <x v="1"/>
    </i>
    <i>
      <x v="2"/>
    </i>
    <i>
      <x v="3"/>
    </i>
    <i t="grand">
      <x/>
    </i>
  </rowItems>
  <colFields count="1">
    <field x="1"/>
  </colFields>
  <colItems count="8">
    <i>
      <x/>
    </i>
    <i>
      <x v="1"/>
    </i>
    <i>
      <x v="2"/>
    </i>
    <i>
      <x v="3"/>
    </i>
    <i>
      <x v="4"/>
    </i>
    <i>
      <x v="5"/>
    </i>
    <i>
      <x v="6"/>
    </i>
    <i t="grand">
      <x/>
    </i>
  </colItems>
  <dataFields count="1">
    <dataField name="Sum of Costuri_Totale" fld="4" baseField="0" baseItem="0"/>
  </dataFields>
  <chartFormats count="1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2">
          <reference field="4294967294" count="1" selected="0">
            <x v="0"/>
          </reference>
          <reference field="1" count="1" selected="0">
            <x v="5"/>
          </reference>
        </references>
      </pivotArea>
    </chartFormat>
    <chartFormat chart="1" format="6" series="1">
      <pivotArea type="data" outline="0" fieldPosition="0">
        <references count="2">
          <reference field="4294967294" count="1" selected="0">
            <x v="0"/>
          </reference>
          <reference field="1" count="1" selected="0">
            <x v="6"/>
          </reference>
        </references>
      </pivotArea>
    </chartFormat>
    <chartFormat chart="3" format="14" series="1">
      <pivotArea type="data" outline="0" fieldPosition="0">
        <references count="2">
          <reference field="4294967294" count="1" selected="0">
            <x v="0"/>
          </reference>
          <reference field="1" count="1" selected="0">
            <x v="0"/>
          </reference>
        </references>
      </pivotArea>
    </chartFormat>
    <chartFormat chart="3" format="15"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2"/>
          </reference>
        </references>
      </pivotArea>
    </chartFormat>
    <chartFormat chart="3" format="17" series="1">
      <pivotArea type="data" outline="0" fieldPosition="0">
        <references count="2">
          <reference field="4294967294" count="1" selected="0">
            <x v="0"/>
          </reference>
          <reference field="1" count="1" selected="0">
            <x v="3"/>
          </reference>
        </references>
      </pivotArea>
    </chartFormat>
    <chartFormat chart="3" format="18" series="1">
      <pivotArea type="data" outline="0" fieldPosition="0">
        <references count="2">
          <reference field="4294967294" count="1" selected="0">
            <x v="0"/>
          </reference>
          <reference field="1" count="1" selected="0">
            <x v="4"/>
          </reference>
        </references>
      </pivotArea>
    </chartFormat>
    <chartFormat chart="3" format="19" series="1">
      <pivotArea type="data" outline="0" fieldPosition="0">
        <references count="2">
          <reference field="4294967294" count="1" selected="0">
            <x v="0"/>
          </reference>
          <reference field="1" count="1" selected="0">
            <x v="5"/>
          </reference>
        </references>
      </pivotArea>
    </chartFormat>
    <chartFormat chart="3"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e_regiune" xr10:uid="{375C5C5D-5ED4-47FC-80B8-FEA95E4E6418}" sourceName="Nume_regiune">
  <pivotTables>
    <pivotTable tabId="6" name="PivotTable1"/>
    <pivotTable tabId="7" name="PivotTable2"/>
    <pivotTable tabId="8" name="PivotTable3"/>
  </pivotTables>
  <data>
    <tabular pivotCacheId="31648089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e" xr10:uid="{1C368921-A373-43C7-A2BC-929DA8709087}" sourceName="Nume">
  <pivotTables>
    <pivotTable tabId="7" name="PivotTable2"/>
    <pivotTable tabId="6" name="PivotTable1"/>
    <pivotTable tabId="8" name="PivotTable3"/>
  </pivotTables>
  <data>
    <tabular pivotCacheId="316480898">
      <items count="7">
        <i x="4" s="1"/>
        <i x="3" s="1"/>
        <i x="0" s="1"/>
        <i x="5" s="1"/>
        <i x="2"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e_regiune" xr10:uid="{B6C05ABC-14A2-4460-AE07-D3130D1D9B4C}" cache="Slicer_Nume_regiune" caption="Nume_regiune" rowHeight="241300"/>
  <slicer name="Nume" xr10:uid="{113BDBDB-8B71-4E15-9C50-16428BED53CD}" cache="Slicer_Nume" caption="Nu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831135-53A2-4244-85BF-C5D7B94751BE}" name="Table11" displayName="Table11" ref="A1:F29" totalsRowShown="0">
  <autoFilter ref="A1:F29" xr:uid="{1D8460F4-56C2-4242-BF4E-84AD081BBC57}">
    <filterColumn colId="0" hiddenButton="1"/>
    <filterColumn colId="1" hiddenButton="1"/>
    <filterColumn colId="2" hiddenButton="1"/>
    <filterColumn colId="3" hiddenButton="1"/>
    <filterColumn colId="4" hiddenButton="1"/>
    <filterColumn colId="5" hiddenButton="1"/>
  </autoFilter>
  <tableColumns count="6">
    <tableColumn id="1" xr3:uid="{8088131C-910C-45D4-95A7-45A6E27F6FD9}" name="Nume_regiune" dataDxfId="5"/>
    <tableColumn id="2" xr3:uid="{474CF68D-5C77-4DFD-9B91-ED41003EED64}" name="Nume" dataDxfId="4"/>
    <tableColumn id="3" xr3:uid="{F2FFCC9D-0A41-48C1-BF8B-375B5089DC67}" name="Venit_Total(USD, milioane)" dataDxfId="3"/>
    <tableColumn id="4" xr3:uid="{B3EA779F-D3F3-4F5E-ABD5-91172005CB67}" name="Cantitate(litri)" dataDxfId="2"/>
    <tableColumn id="5" xr3:uid="{12B7C1C2-9559-4C22-8F24-5C3957E3AE47}" name="Costuri_Totale" dataDxfId="1"/>
    <tableColumn id="6" xr3:uid="{8B59C202-7445-468F-9649-F4BA7A8A32C6}" name="Profit_Brut"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6E1BA7-059C-48DF-969F-61012935E964}" name="Table1" displayName="Table1" ref="A9:B13" headerRowCount="0">
  <tableColumns count="2">
    <tableColumn id="4" xr3:uid="{EF230963-96DA-4EF8-B933-FCE18056F9C2}" name="Column1"/>
    <tableColumn id="2" xr3:uid="{06E8B9EB-ADA9-4A06-B02A-CA68D1B98128}" name="Column2" dataDxfId="11">
      <calculatedColumnFormula>QUARTILE(B2:B5, 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F40E75-2DC5-4D82-8E9C-6A9EA21A44F9}" name="Table13" displayName="Table13" ref="C9:D13" headerRowCount="0">
  <tableColumns count="2">
    <tableColumn id="4" xr3:uid="{7D9BD956-675F-479B-888F-398566BC289E}" name="Column1" dataDxfId="9"/>
    <tableColumn id="2" xr3:uid="{027ABA8F-0CFD-4B99-9492-8108F11D193A}" name="Column2" dataDxfId="7">
      <calculatedColumnFormula>QUARTILE(D2:D5, 1)</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804E59-888D-4965-99B3-4123DDD9AB18}" name="Table134" displayName="Table134" ref="E9:F13" headerRowCount="0">
  <tableColumns count="2">
    <tableColumn id="4" xr3:uid="{2944D0C5-DB1D-4A2A-9AE0-9D48577C0136}" name="Column1"/>
    <tableColumn id="2" xr3:uid="{114D2154-0F70-4B0B-B02B-B5A82BEB242E}" name="Column2" dataDxfId="14">
      <calculatedColumnFormula>QUARTILE(F2:F5, 1)</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FE3B68-6FCC-4D31-BDF0-4D2E6E43AF26}" name="Table1345" displayName="Table1345" ref="G9:H13" headerRowCount="0">
  <tableColumns count="2">
    <tableColumn id="4" xr3:uid="{47191CBE-0839-4F7A-95B5-462CA5728FCF}" name="Column1"/>
    <tableColumn id="2" xr3:uid="{31E7D689-A29A-4684-9483-B46CD4546B16}" name="Column2" dataDxfId="13">
      <calculatedColumnFormula>QUARTILE(H2:H5, 1)</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2D52C0-F700-4CBC-A48F-84158F7EA315}" name="Table13456" displayName="Table13456" ref="A17:B21" headerRowCount="0">
  <tableColumns count="2">
    <tableColumn id="4" xr3:uid="{BB4B18C2-391D-4A93-82D9-7FB4EAA7C4D8}" name="Column1"/>
    <tableColumn id="2" xr3:uid="{DCCCA02F-C9F3-4315-B765-ADDCF525B0F0}" name="Column2" dataDxfId="10">
      <calculatedColumnFormula>QUARTILE(B10:B13, 1)</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8E1725-0160-4249-A6F0-511743E80ADE}" name="Table134567" displayName="Table134567" ref="C17:D21" headerRowCount="0">
  <tableColumns count="2">
    <tableColumn id="4" xr3:uid="{01F048AA-2190-462C-96B8-757753D2B0BF}" name="Column1" dataDxfId="8"/>
    <tableColumn id="2" xr3:uid="{EAC546AE-255C-4E06-A11B-5D92D6797404}" name="Column2" dataDxfId="6">
      <calculatedColumnFormula>QUARTILE(D10:D13, 1)</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4551261-3864-4FA5-88F6-183350656D7B}" name="Table1345679" displayName="Table1345679" ref="E17:F21" headerRowCount="0">
  <tableColumns count="2">
    <tableColumn id="4" xr3:uid="{2F9799DE-45F4-40B2-975A-F1069956AD64}" name="Column1"/>
    <tableColumn id="2" xr3:uid="{7D6FA5EE-2EFE-4B6B-87F1-E18022DCA22E}" name="Column2" dataDxfId="12">
      <calculatedColumnFormula>QUARTILE(F10:F13, 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workbookViewId="0">
      <selection activeCell="I33" sqref="I33"/>
    </sheetView>
  </sheetViews>
  <sheetFormatPr defaultRowHeight="15" x14ac:dyDescent="0.25"/>
  <cols>
    <col min="1" max="1" width="34.85546875" customWidth="1"/>
    <col min="2" max="2" width="24.28515625" customWidth="1"/>
    <col min="3" max="3" width="28.28515625" customWidth="1"/>
    <col min="4" max="4" width="19" customWidth="1"/>
    <col min="5" max="5" width="30" customWidth="1"/>
    <col min="6" max="6" width="31.140625" customWidth="1"/>
    <col min="7" max="7" width="20.5703125" customWidth="1"/>
    <col min="8" max="8" width="16.85546875" customWidth="1"/>
    <col min="9" max="9" width="14"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t="s">
        <v>10</v>
      </c>
      <c r="C2" s="3">
        <v>717.14</v>
      </c>
      <c r="D2" s="4">
        <v>478093</v>
      </c>
      <c r="E2" s="3">
        <v>0.5</v>
      </c>
      <c r="F2" s="3">
        <v>0.2</v>
      </c>
      <c r="G2" s="5">
        <v>334.6651</v>
      </c>
      <c r="H2" s="3">
        <v>382.47489999999999</v>
      </c>
      <c r="I2" s="4">
        <v>101</v>
      </c>
    </row>
    <row r="3" spans="1:9" x14ac:dyDescent="0.25">
      <c r="A3" s="2" t="s">
        <v>11</v>
      </c>
      <c r="B3" s="2" t="s">
        <v>10</v>
      </c>
      <c r="C3" s="3">
        <v>478.43</v>
      </c>
      <c r="D3" s="4">
        <v>318953</v>
      </c>
      <c r="E3" s="3">
        <v>0.5</v>
      </c>
      <c r="F3" s="3">
        <v>0.2</v>
      </c>
      <c r="G3" s="5">
        <v>223.2671</v>
      </c>
      <c r="H3" s="3">
        <v>255.16290000000001</v>
      </c>
      <c r="I3" s="4">
        <v>101</v>
      </c>
    </row>
    <row r="4" spans="1:9" x14ac:dyDescent="0.25">
      <c r="A4" s="2" t="s">
        <v>12</v>
      </c>
      <c r="B4" s="2" t="s">
        <v>10</v>
      </c>
      <c r="C4" s="3">
        <v>1243.9000000000001</v>
      </c>
      <c r="D4" s="4">
        <v>829267</v>
      </c>
      <c r="E4" s="3">
        <v>0.5</v>
      </c>
      <c r="F4" s="3">
        <v>0.2</v>
      </c>
      <c r="G4" s="5">
        <v>580.48689999999999</v>
      </c>
      <c r="H4" s="3">
        <v>663.41309999999999</v>
      </c>
      <c r="I4" s="4">
        <v>101</v>
      </c>
    </row>
    <row r="5" spans="1:9" x14ac:dyDescent="0.25">
      <c r="A5" s="2" t="s">
        <v>13</v>
      </c>
      <c r="B5" s="2" t="s">
        <v>10</v>
      </c>
      <c r="C5" s="3">
        <v>334.9</v>
      </c>
      <c r="D5" s="4">
        <v>223267</v>
      </c>
      <c r="E5" s="3">
        <v>0.5</v>
      </c>
      <c r="F5" s="3">
        <v>0.2</v>
      </c>
      <c r="G5" s="5">
        <v>156.2869</v>
      </c>
      <c r="H5" s="3">
        <v>178.6131</v>
      </c>
      <c r="I5" s="4">
        <v>101</v>
      </c>
    </row>
    <row r="6" spans="1:9" x14ac:dyDescent="0.25">
      <c r="A6" s="2" t="s">
        <v>9</v>
      </c>
      <c r="B6" s="2" t="s">
        <v>14</v>
      </c>
      <c r="C6" s="3">
        <v>401.87</v>
      </c>
      <c r="D6" s="4">
        <v>287050</v>
      </c>
      <c r="E6" s="3">
        <v>0.45</v>
      </c>
      <c r="F6" s="3">
        <v>0.18</v>
      </c>
      <c r="G6" s="5">
        <v>180.8415</v>
      </c>
      <c r="H6" s="3">
        <v>221.02850000000001</v>
      </c>
      <c r="I6" s="4">
        <v>102</v>
      </c>
    </row>
    <row r="7" spans="1:9" x14ac:dyDescent="0.25">
      <c r="A7" s="2" t="s">
        <v>11</v>
      </c>
      <c r="B7" s="2" t="s">
        <v>14</v>
      </c>
      <c r="C7" s="3">
        <v>339.2</v>
      </c>
      <c r="D7" s="4">
        <v>242286</v>
      </c>
      <c r="E7" s="3">
        <v>0.45</v>
      </c>
      <c r="F7" s="3">
        <v>0.18</v>
      </c>
      <c r="G7" s="5">
        <v>152.64017999999999</v>
      </c>
      <c r="H7" s="3">
        <v>186.5598</v>
      </c>
      <c r="I7" s="4">
        <v>102</v>
      </c>
    </row>
    <row r="8" spans="1:9" x14ac:dyDescent="0.25">
      <c r="A8" s="2" t="s">
        <v>12</v>
      </c>
      <c r="B8" s="2" t="s">
        <v>14</v>
      </c>
      <c r="C8" s="3">
        <v>535.84</v>
      </c>
      <c r="D8" s="4">
        <v>382743</v>
      </c>
      <c r="E8" s="3">
        <v>0.45</v>
      </c>
      <c r="F8" s="3">
        <v>0.18</v>
      </c>
      <c r="G8" s="5">
        <v>241.12808999999999</v>
      </c>
      <c r="H8" s="3">
        <v>294.71190000000001</v>
      </c>
      <c r="I8" s="4">
        <v>102</v>
      </c>
    </row>
    <row r="9" spans="1:9" x14ac:dyDescent="0.25">
      <c r="A9" s="2" t="s">
        <v>13</v>
      </c>
      <c r="B9" s="2" t="s">
        <v>14</v>
      </c>
      <c r="C9" s="3">
        <v>250.18</v>
      </c>
      <c r="D9" s="4">
        <v>178700</v>
      </c>
      <c r="E9" s="3">
        <v>0.45</v>
      </c>
      <c r="F9" s="3">
        <v>0.18</v>
      </c>
      <c r="G9" s="5">
        <v>112.581</v>
      </c>
      <c r="H9" s="3">
        <v>137.59899999999999</v>
      </c>
      <c r="I9" s="4">
        <v>102</v>
      </c>
    </row>
    <row r="10" spans="1:9" x14ac:dyDescent="0.25">
      <c r="A10" s="2" t="s">
        <v>9</v>
      </c>
      <c r="B10" s="2" t="s">
        <v>15</v>
      </c>
      <c r="C10" s="3">
        <v>275.11</v>
      </c>
      <c r="D10" s="4">
        <v>203781</v>
      </c>
      <c r="E10" s="3">
        <v>0.48</v>
      </c>
      <c r="F10" s="3">
        <v>0.19</v>
      </c>
      <c r="G10" s="5">
        <v>136.53326999999999</v>
      </c>
      <c r="H10" s="3">
        <v>138.57669999999999</v>
      </c>
      <c r="I10" s="4">
        <v>103</v>
      </c>
    </row>
    <row r="11" spans="1:9" x14ac:dyDescent="0.25">
      <c r="A11" s="2" t="s">
        <v>11</v>
      </c>
      <c r="B11" s="2" t="s">
        <v>15</v>
      </c>
      <c r="C11" s="3">
        <v>258.35000000000002</v>
      </c>
      <c r="D11" s="4">
        <v>191370</v>
      </c>
      <c r="E11" s="3">
        <v>0.48</v>
      </c>
      <c r="F11" s="3">
        <v>0.19</v>
      </c>
      <c r="G11" s="5">
        <v>128.21789999999999</v>
      </c>
      <c r="H11" s="3">
        <v>130.13210000000001</v>
      </c>
      <c r="I11" s="4">
        <v>103</v>
      </c>
    </row>
    <row r="12" spans="1:9" x14ac:dyDescent="0.25">
      <c r="A12" s="2" t="s">
        <v>12</v>
      </c>
      <c r="B12" s="2" t="s">
        <v>15</v>
      </c>
      <c r="C12" s="3">
        <v>473.51</v>
      </c>
      <c r="D12" s="4">
        <v>350749</v>
      </c>
      <c r="E12" s="3">
        <v>0.48</v>
      </c>
      <c r="F12" s="3">
        <v>0.19</v>
      </c>
      <c r="G12" s="5">
        <v>235.00183000000001</v>
      </c>
      <c r="H12" s="3">
        <v>238.50819999999999</v>
      </c>
      <c r="I12" s="4">
        <v>103</v>
      </c>
    </row>
    <row r="13" spans="1:9" x14ac:dyDescent="0.25">
      <c r="A13" s="2" t="s">
        <v>13</v>
      </c>
      <c r="B13" s="2" t="s">
        <v>15</v>
      </c>
      <c r="C13" s="3">
        <v>224.03</v>
      </c>
      <c r="D13" s="4">
        <v>165948</v>
      </c>
      <c r="E13" s="3">
        <v>0.48</v>
      </c>
      <c r="F13" s="3">
        <v>0.19</v>
      </c>
      <c r="G13" s="5">
        <v>111.18516</v>
      </c>
      <c r="H13" s="3">
        <v>112.84480000000001</v>
      </c>
      <c r="I13" s="4">
        <v>103</v>
      </c>
    </row>
    <row r="14" spans="1:9" x14ac:dyDescent="0.25">
      <c r="A14" s="2" t="s">
        <v>9</v>
      </c>
      <c r="B14" s="2" t="s">
        <v>16</v>
      </c>
      <c r="C14" s="3">
        <v>229.64</v>
      </c>
      <c r="D14" s="4">
        <v>127578</v>
      </c>
      <c r="E14" s="3">
        <v>0.6</v>
      </c>
      <c r="F14" s="3">
        <v>0.25</v>
      </c>
      <c r="G14" s="5">
        <v>108.4413</v>
      </c>
      <c r="H14" s="3">
        <v>121.1987</v>
      </c>
      <c r="I14" s="4">
        <v>104</v>
      </c>
    </row>
    <row r="15" spans="1:9" x14ac:dyDescent="0.25">
      <c r="A15" s="2" t="s">
        <v>11</v>
      </c>
      <c r="B15" s="2" t="s">
        <v>16</v>
      </c>
      <c r="C15" s="3">
        <v>206.69</v>
      </c>
      <c r="D15" s="4">
        <v>114828</v>
      </c>
      <c r="E15" s="3">
        <v>0.6</v>
      </c>
      <c r="F15" s="3">
        <v>0.25</v>
      </c>
      <c r="G15" s="5">
        <v>97.603800000000007</v>
      </c>
      <c r="H15" s="3">
        <v>109.08620000000001</v>
      </c>
      <c r="I15" s="4">
        <v>104</v>
      </c>
    </row>
    <row r="16" spans="1:9" x14ac:dyDescent="0.25">
      <c r="A16" s="2" t="s">
        <v>12</v>
      </c>
      <c r="B16" s="2" t="s">
        <v>16</v>
      </c>
      <c r="C16" s="3">
        <v>321.68</v>
      </c>
      <c r="D16" s="4">
        <v>178711</v>
      </c>
      <c r="E16" s="3">
        <v>0.6</v>
      </c>
      <c r="F16" s="3">
        <v>0.25</v>
      </c>
      <c r="G16" s="5">
        <v>151.90434999999999</v>
      </c>
      <c r="H16" s="3">
        <v>169.7757</v>
      </c>
      <c r="I16" s="4">
        <v>104</v>
      </c>
    </row>
    <row r="17" spans="1:9" x14ac:dyDescent="0.25">
      <c r="A17" s="2" t="s">
        <v>13</v>
      </c>
      <c r="B17" s="2" t="s">
        <v>16</v>
      </c>
      <c r="C17" s="3">
        <v>149.27000000000001</v>
      </c>
      <c r="D17" s="4">
        <v>82927</v>
      </c>
      <c r="E17" s="3">
        <v>0.6</v>
      </c>
      <c r="F17" s="3">
        <v>0.25</v>
      </c>
      <c r="G17" s="5">
        <v>70.487949999999998</v>
      </c>
      <c r="H17" s="3">
        <v>78.7821</v>
      </c>
      <c r="I17" s="4">
        <v>104</v>
      </c>
    </row>
    <row r="18" spans="1:9" x14ac:dyDescent="0.25">
      <c r="A18" s="2" t="s">
        <v>9</v>
      </c>
      <c r="B18" s="2" t="s">
        <v>17</v>
      </c>
      <c r="C18" s="3">
        <v>133.96</v>
      </c>
      <c r="D18" s="4">
        <v>76549</v>
      </c>
      <c r="E18" s="3">
        <v>0.55000000000000004</v>
      </c>
      <c r="F18" s="3">
        <v>0.22</v>
      </c>
      <c r="G18" s="5">
        <v>58.942729999999997</v>
      </c>
      <c r="H18" s="3">
        <v>75.017300000000006</v>
      </c>
      <c r="I18" s="4">
        <v>105</v>
      </c>
    </row>
    <row r="19" spans="1:9" x14ac:dyDescent="0.25">
      <c r="A19" s="2" t="s">
        <v>11</v>
      </c>
      <c r="B19" s="2" t="s">
        <v>17</v>
      </c>
      <c r="C19" s="3">
        <v>111.63</v>
      </c>
      <c r="D19" s="4">
        <v>63504</v>
      </c>
      <c r="E19" s="3">
        <v>0.55000000000000004</v>
      </c>
      <c r="F19" s="3">
        <v>0.22</v>
      </c>
      <c r="G19" s="5">
        <v>48.89808</v>
      </c>
      <c r="H19" s="3">
        <v>62.731900000000003</v>
      </c>
      <c r="I19" s="4">
        <v>105</v>
      </c>
    </row>
    <row r="20" spans="1:9" x14ac:dyDescent="0.25">
      <c r="A20" s="2" t="s">
        <v>12</v>
      </c>
      <c r="B20" s="2" t="s">
        <v>17</v>
      </c>
      <c r="C20" s="3">
        <v>223.26</v>
      </c>
      <c r="D20" s="4">
        <v>127291</v>
      </c>
      <c r="E20" s="3">
        <v>0.55000000000000004</v>
      </c>
      <c r="F20" s="3">
        <v>0.22</v>
      </c>
      <c r="G20" s="5">
        <v>98.014070000000004</v>
      </c>
      <c r="H20" s="3">
        <v>125.24590000000001</v>
      </c>
      <c r="I20" s="4">
        <v>105</v>
      </c>
    </row>
    <row r="21" spans="1:9" x14ac:dyDescent="0.25">
      <c r="A21" s="2" t="s">
        <v>13</v>
      </c>
      <c r="B21" s="2" t="s">
        <v>17</v>
      </c>
      <c r="C21" s="3">
        <v>100.42</v>
      </c>
      <c r="D21" s="4">
        <v>57392</v>
      </c>
      <c r="E21" s="3">
        <v>0.55000000000000004</v>
      </c>
      <c r="F21" s="3">
        <v>0.22</v>
      </c>
      <c r="G21" s="5">
        <v>44.191839999999999</v>
      </c>
      <c r="H21" s="3">
        <v>56.228200000000001</v>
      </c>
      <c r="I21" s="4">
        <v>105</v>
      </c>
    </row>
    <row r="22" spans="1:9" x14ac:dyDescent="0.25">
      <c r="A22" s="2" t="s">
        <v>9</v>
      </c>
      <c r="B22" s="2" t="s">
        <v>18</v>
      </c>
      <c r="C22" s="3">
        <v>255.16</v>
      </c>
      <c r="D22" s="4">
        <v>255160</v>
      </c>
      <c r="E22" s="3">
        <v>0.3</v>
      </c>
      <c r="F22" s="3">
        <v>0.15</v>
      </c>
      <c r="G22" s="5">
        <v>114.822</v>
      </c>
      <c r="H22" s="3">
        <v>140.33799999999999</v>
      </c>
      <c r="I22" s="4">
        <v>106</v>
      </c>
    </row>
    <row r="23" spans="1:9" x14ac:dyDescent="0.25">
      <c r="A23" s="2" t="s">
        <v>11</v>
      </c>
      <c r="B23" s="2" t="s">
        <v>18</v>
      </c>
      <c r="C23" s="3">
        <v>159.47999999999999</v>
      </c>
      <c r="D23" s="4">
        <v>159480</v>
      </c>
      <c r="E23" s="3">
        <v>0.3</v>
      </c>
      <c r="F23" s="3">
        <v>0.15</v>
      </c>
      <c r="G23" s="5">
        <v>71.766000000000005</v>
      </c>
      <c r="H23" s="3">
        <v>87.713999999999999</v>
      </c>
      <c r="I23" s="4">
        <v>106</v>
      </c>
    </row>
    <row r="24" spans="1:9" x14ac:dyDescent="0.25">
      <c r="A24" s="2" t="s">
        <v>12</v>
      </c>
      <c r="B24" s="2" t="s">
        <v>18</v>
      </c>
      <c r="C24" s="3">
        <v>286.06</v>
      </c>
      <c r="D24" s="4">
        <v>286060</v>
      </c>
      <c r="E24" s="3">
        <v>0.3</v>
      </c>
      <c r="F24" s="3">
        <v>0.15</v>
      </c>
      <c r="G24" s="5">
        <v>128.727</v>
      </c>
      <c r="H24" s="3">
        <v>157.333</v>
      </c>
      <c r="I24" s="4">
        <v>106</v>
      </c>
    </row>
    <row r="25" spans="1:9" x14ac:dyDescent="0.25">
      <c r="A25" s="2" t="s">
        <v>13</v>
      </c>
      <c r="B25" s="2" t="s">
        <v>18</v>
      </c>
      <c r="C25" s="3">
        <v>127.58</v>
      </c>
      <c r="D25" s="4">
        <v>127580</v>
      </c>
      <c r="E25" s="3">
        <v>0.3</v>
      </c>
      <c r="F25" s="3">
        <v>0.15</v>
      </c>
      <c r="G25" s="5">
        <v>57.411000000000001</v>
      </c>
      <c r="H25" s="3">
        <v>70.168999999999997</v>
      </c>
      <c r="I25" s="4">
        <v>106</v>
      </c>
    </row>
    <row r="26" spans="1:9" x14ac:dyDescent="0.25">
      <c r="A26" s="2" t="s">
        <v>9</v>
      </c>
      <c r="B26" s="2" t="s">
        <v>19</v>
      </c>
      <c r="C26" s="3">
        <v>153.09</v>
      </c>
      <c r="D26" s="4">
        <v>95681</v>
      </c>
      <c r="E26" s="3">
        <v>0.55000000000000004</v>
      </c>
      <c r="F26" s="3">
        <v>0.25</v>
      </c>
      <c r="G26" s="5">
        <v>76.544799999999995</v>
      </c>
      <c r="H26" s="3">
        <v>76.545199999999994</v>
      </c>
      <c r="I26" s="4">
        <v>107</v>
      </c>
    </row>
    <row r="27" spans="1:9" x14ac:dyDescent="0.25">
      <c r="A27" s="2" t="s">
        <v>11</v>
      </c>
      <c r="B27" s="2" t="s">
        <v>19</v>
      </c>
      <c r="C27" s="3">
        <v>142.88999999999999</v>
      </c>
      <c r="D27" s="4">
        <v>89306</v>
      </c>
      <c r="E27" s="3">
        <v>0.55000000000000004</v>
      </c>
      <c r="F27" s="3">
        <v>0.25</v>
      </c>
      <c r="G27" s="5">
        <v>71.444800000000001</v>
      </c>
      <c r="H27" s="3">
        <v>71.4452</v>
      </c>
      <c r="I27" s="4">
        <v>107</v>
      </c>
    </row>
    <row r="28" spans="1:9" x14ac:dyDescent="0.25">
      <c r="A28" s="2" t="s">
        <v>12</v>
      </c>
      <c r="B28" s="2" t="s">
        <v>19</v>
      </c>
      <c r="C28" s="3">
        <v>306.19</v>
      </c>
      <c r="D28" s="4">
        <v>191369</v>
      </c>
      <c r="E28" s="3">
        <v>0.55000000000000004</v>
      </c>
      <c r="F28" s="3">
        <v>0.25</v>
      </c>
      <c r="G28" s="5">
        <v>153.09520000000001</v>
      </c>
      <c r="H28" s="3">
        <v>153.09479999999999</v>
      </c>
      <c r="I28" s="4">
        <v>107</v>
      </c>
    </row>
    <row r="29" spans="1:9" x14ac:dyDescent="0.25">
      <c r="A29" s="2" t="s">
        <v>13</v>
      </c>
      <c r="B29" s="2" t="s">
        <v>19</v>
      </c>
      <c r="C29" s="3">
        <v>183.71</v>
      </c>
      <c r="D29" s="4">
        <v>114819</v>
      </c>
      <c r="E29" s="3">
        <v>0.55000000000000004</v>
      </c>
      <c r="F29" s="3">
        <v>0.25</v>
      </c>
      <c r="G29" s="5">
        <v>91.855199999999996</v>
      </c>
      <c r="H29" s="3">
        <v>91.854799999999997</v>
      </c>
      <c r="I29" s="4">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70B9-9243-4E62-B91C-6343F4001670}">
  <dimension ref="A2:C8"/>
  <sheetViews>
    <sheetView zoomScaleNormal="100" workbookViewId="0">
      <selection activeCell="H30" sqref="H30"/>
    </sheetView>
  </sheetViews>
  <sheetFormatPr defaultRowHeight="15" x14ac:dyDescent="0.25"/>
  <cols>
    <col min="1" max="1" width="31.28515625" bestFit="1" customWidth="1"/>
    <col min="2" max="2" width="32.5703125" bestFit="1" customWidth="1"/>
    <col min="3" max="3" width="17.5703125" bestFit="1" customWidth="1"/>
  </cols>
  <sheetData>
    <row r="2" spans="1:3" x14ac:dyDescent="0.25">
      <c r="A2" t="s">
        <v>37</v>
      </c>
    </row>
    <row r="3" spans="1:3" x14ac:dyDescent="0.25">
      <c r="A3" s="12" t="s">
        <v>33</v>
      </c>
      <c r="B3" t="s">
        <v>35</v>
      </c>
      <c r="C3" t="s">
        <v>36</v>
      </c>
    </row>
    <row r="4" spans="1:3" x14ac:dyDescent="0.25">
      <c r="A4" s="13" t="s">
        <v>12</v>
      </c>
      <c r="B4" s="14">
        <v>3390.4399999999996</v>
      </c>
      <c r="C4" s="14">
        <v>1802.0826</v>
      </c>
    </row>
    <row r="5" spans="1:3" x14ac:dyDescent="0.25">
      <c r="A5" s="13" t="s">
        <v>11</v>
      </c>
      <c r="B5" s="14">
        <v>1696.67</v>
      </c>
      <c r="C5" s="14">
        <v>902.83209999999997</v>
      </c>
    </row>
    <row r="6" spans="1:3" x14ac:dyDescent="0.25">
      <c r="A6" s="13" t="s">
        <v>13</v>
      </c>
      <c r="B6" s="14">
        <v>1370.09</v>
      </c>
      <c r="C6" s="14">
        <v>726.09099999999989</v>
      </c>
    </row>
    <row r="7" spans="1:3" x14ac:dyDescent="0.25">
      <c r="A7" s="13" t="s">
        <v>9</v>
      </c>
      <c r="B7" s="14">
        <v>2165.9699999999998</v>
      </c>
      <c r="C7" s="14">
        <v>1155.1793</v>
      </c>
    </row>
    <row r="8" spans="1:3" x14ac:dyDescent="0.25">
      <c r="A8" s="13" t="s">
        <v>34</v>
      </c>
      <c r="B8" s="14">
        <v>8623.17</v>
      </c>
      <c r="C8" s="14">
        <v>4586.1849999999995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AB225-C25C-4F59-93B2-49B8CE0FFD14}">
  <dimension ref="A1:G5"/>
  <sheetViews>
    <sheetView workbookViewId="0">
      <selection activeCell="J14" sqref="J14"/>
    </sheetView>
  </sheetViews>
  <sheetFormatPr defaultRowHeight="15" x14ac:dyDescent="0.25"/>
  <cols>
    <col min="1" max="1" width="32.42578125" customWidth="1"/>
    <col min="2" max="2" width="31.7109375" customWidth="1"/>
    <col min="3" max="3" width="19" customWidth="1"/>
    <col min="4" max="4" width="21.7109375" customWidth="1"/>
    <col min="5" max="5" width="22.42578125" customWidth="1"/>
    <col min="6" max="6" width="25" customWidth="1"/>
    <col min="7" max="7" width="21.5703125" customWidth="1"/>
  </cols>
  <sheetData>
    <row r="1" spans="1:7" x14ac:dyDescent="0.25">
      <c r="A1" t="s">
        <v>48</v>
      </c>
      <c r="B1" t="s">
        <v>42</v>
      </c>
      <c r="C1" t="s">
        <v>43</v>
      </c>
      <c r="D1" t="s">
        <v>44</v>
      </c>
      <c r="E1" t="s">
        <v>45</v>
      </c>
      <c r="F1" t="s">
        <v>46</v>
      </c>
      <c r="G1" t="s">
        <v>47</v>
      </c>
    </row>
    <row r="2" spans="1:7" x14ac:dyDescent="0.25">
      <c r="A2" s="13" t="s">
        <v>12</v>
      </c>
      <c r="B2" s="14">
        <v>3390.4399999999996</v>
      </c>
      <c r="C2" s="8">
        <v>1802.0826</v>
      </c>
      <c r="D2" s="8">
        <f>B2 * (1 + 10%)</f>
        <v>3729.4839999999999</v>
      </c>
      <c r="E2" s="8">
        <f>B2 * (1 + 5%)</f>
        <v>3559.9619999999995</v>
      </c>
      <c r="F2" s="8">
        <f>C2 * (1 + 10%)</f>
        <v>1982.2908600000001</v>
      </c>
      <c r="G2" s="8">
        <f>C2 * (1 + 5%)</f>
        <v>1892.1867300000001</v>
      </c>
    </row>
    <row r="3" spans="1:7" x14ac:dyDescent="0.25">
      <c r="A3" s="13" t="s">
        <v>11</v>
      </c>
      <c r="B3" s="14">
        <v>1696.67</v>
      </c>
      <c r="C3" s="8">
        <v>902.83209999999997</v>
      </c>
      <c r="D3" s="8">
        <f t="shared" ref="D3:D5" si="0">B3 * (1 + 10%)</f>
        <v>1866.3370000000002</v>
      </c>
      <c r="E3" s="8">
        <f t="shared" ref="E3:E5" si="1">B3 * (1 + 5%)</f>
        <v>1781.5035000000003</v>
      </c>
      <c r="F3" s="8">
        <f t="shared" ref="F3:F5" si="2">C3 * (1 + 10%)</f>
        <v>993.11531000000002</v>
      </c>
      <c r="G3" s="8">
        <f t="shared" ref="G3:G5" si="3">C3 * (1 + 5%)</f>
        <v>947.973705</v>
      </c>
    </row>
    <row r="4" spans="1:7" x14ac:dyDescent="0.25">
      <c r="A4" s="13" t="s">
        <v>13</v>
      </c>
      <c r="B4" s="14">
        <v>1370.09</v>
      </c>
      <c r="C4" s="8">
        <v>726.09099999999989</v>
      </c>
      <c r="D4" s="8">
        <f t="shared" si="0"/>
        <v>1507.0989999999999</v>
      </c>
      <c r="E4" s="8">
        <f t="shared" si="1"/>
        <v>1438.5944999999999</v>
      </c>
      <c r="F4" s="8">
        <f t="shared" si="2"/>
        <v>798.70009999999991</v>
      </c>
      <c r="G4" s="8">
        <f t="shared" si="3"/>
        <v>762.39554999999996</v>
      </c>
    </row>
    <row r="5" spans="1:7" x14ac:dyDescent="0.25">
      <c r="A5" s="13" t="s">
        <v>9</v>
      </c>
      <c r="B5" s="14">
        <v>2165.9699999999998</v>
      </c>
      <c r="C5" s="8">
        <v>1155.1793</v>
      </c>
      <c r="D5" s="8">
        <f t="shared" si="0"/>
        <v>2382.567</v>
      </c>
      <c r="E5" s="8">
        <f t="shared" si="1"/>
        <v>2274.2684999999997</v>
      </c>
      <c r="F5" s="8">
        <f t="shared" si="2"/>
        <v>1270.6972300000002</v>
      </c>
      <c r="G5" s="8">
        <f t="shared" si="3"/>
        <v>1212.938265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4B45-C0E4-4B47-95EF-1574BD8330FE}">
  <dimension ref="A2:C11"/>
  <sheetViews>
    <sheetView zoomScaleNormal="100" workbookViewId="0">
      <selection activeCell="C3" sqref="C3"/>
    </sheetView>
  </sheetViews>
  <sheetFormatPr defaultRowHeight="15" x14ac:dyDescent="0.25"/>
  <cols>
    <col min="1" max="1" width="21" bestFit="1" customWidth="1"/>
    <col min="2" max="2" width="32.5703125" bestFit="1" customWidth="1"/>
    <col min="3" max="4" width="17.5703125" bestFit="1" customWidth="1"/>
  </cols>
  <sheetData>
    <row r="2" spans="1:3" x14ac:dyDescent="0.25">
      <c r="A2" t="s">
        <v>38</v>
      </c>
    </row>
    <row r="3" spans="1:3" x14ac:dyDescent="0.25">
      <c r="A3" s="12" t="s">
        <v>33</v>
      </c>
      <c r="B3" t="s">
        <v>35</v>
      </c>
      <c r="C3" t="s">
        <v>36</v>
      </c>
    </row>
    <row r="4" spans="1:3" x14ac:dyDescent="0.25">
      <c r="A4" s="13" t="s">
        <v>17</v>
      </c>
      <c r="B4" s="14">
        <v>569.27</v>
      </c>
      <c r="C4" s="14">
        <v>319.22329999999999</v>
      </c>
    </row>
    <row r="5" spans="1:3" x14ac:dyDescent="0.25">
      <c r="A5" s="13" t="s">
        <v>16</v>
      </c>
      <c r="B5" s="14">
        <v>907.28</v>
      </c>
      <c r="C5" s="14">
        <v>478.84270000000004</v>
      </c>
    </row>
    <row r="6" spans="1:3" x14ac:dyDescent="0.25">
      <c r="A6" s="13" t="s">
        <v>10</v>
      </c>
      <c r="B6" s="14">
        <v>2774.3700000000003</v>
      </c>
      <c r="C6" s="14">
        <v>1479.664</v>
      </c>
    </row>
    <row r="7" spans="1:3" x14ac:dyDescent="0.25">
      <c r="A7" s="13" t="s">
        <v>18</v>
      </c>
      <c r="B7" s="14">
        <v>828.28000000000009</v>
      </c>
      <c r="C7" s="14">
        <v>455.55399999999997</v>
      </c>
    </row>
    <row r="8" spans="1:3" x14ac:dyDescent="0.25">
      <c r="A8" s="13" t="s">
        <v>15</v>
      </c>
      <c r="B8" s="14">
        <v>1231</v>
      </c>
      <c r="C8" s="14">
        <v>620.06179999999995</v>
      </c>
    </row>
    <row r="9" spans="1:3" x14ac:dyDescent="0.25">
      <c r="A9" s="13" t="s">
        <v>19</v>
      </c>
      <c r="B9" s="14">
        <v>785.88000000000011</v>
      </c>
      <c r="C9" s="14">
        <v>392.94</v>
      </c>
    </row>
    <row r="10" spans="1:3" x14ac:dyDescent="0.25">
      <c r="A10" s="13" t="s">
        <v>14</v>
      </c>
      <c r="B10" s="14">
        <v>1527.09</v>
      </c>
      <c r="C10" s="14">
        <v>839.89920000000006</v>
      </c>
    </row>
    <row r="11" spans="1:3" x14ac:dyDescent="0.25">
      <c r="A11" s="13" t="s">
        <v>34</v>
      </c>
      <c r="B11" s="14">
        <v>8623.17</v>
      </c>
      <c r="C11" s="14">
        <v>4586.1850000000004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80FB-2887-428B-ADF8-FCDBC8CDDE89}">
  <dimension ref="A1"/>
  <sheetViews>
    <sheetView tabSelected="1" workbookViewId="0">
      <selection activeCell="P13" sqref="P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E391-22A9-4D5C-8EAA-3C83C01C2D23}">
  <dimension ref="A2:I9"/>
  <sheetViews>
    <sheetView zoomScaleNormal="100" workbookViewId="0">
      <selection activeCell="A3" sqref="A3:I9"/>
    </sheetView>
  </sheetViews>
  <sheetFormatPr defaultRowHeight="15" x14ac:dyDescent="0.25"/>
  <cols>
    <col min="1" max="1" width="31.28515625" bestFit="1" customWidth="1"/>
    <col min="2" max="2" width="17.42578125" bestFit="1" customWidth="1"/>
    <col min="3" max="3" width="21" bestFit="1" customWidth="1"/>
    <col min="4" max="4" width="15.28515625" bestFit="1" customWidth="1"/>
    <col min="5" max="5" width="15.140625" bestFit="1" customWidth="1"/>
    <col min="6" max="6" width="10" bestFit="1" customWidth="1"/>
    <col min="7" max="7" width="16.28515625" bestFit="1" customWidth="1"/>
    <col min="8" max="8" width="10" bestFit="1" customWidth="1"/>
    <col min="9" max="9" width="11.28515625" bestFit="1" customWidth="1"/>
  </cols>
  <sheetData>
    <row r="2" spans="1:9" x14ac:dyDescent="0.25">
      <c r="A2" t="s">
        <v>41</v>
      </c>
    </row>
    <row r="3" spans="1:9" x14ac:dyDescent="0.25">
      <c r="A3" s="12" t="s">
        <v>40</v>
      </c>
      <c r="B3" s="12" t="s">
        <v>39</v>
      </c>
    </row>
    <row r="4" spans="1:9" x14ac:dyDescent="0.25">
      <c r="A4" s="12" t="s">
        <v>33</v>
      </c>
      <c r="B4" t="s">
        <v>17</v>
      </c>
      <c r="C4" t="s">
        <v>16</v>
      </c>
      <c r="D4" t="s">
        <v>10</v>
      </c>
      <c r="E4" t="s">
        <v>18</v>
      </c>
      <c r="F4" t="s">
        <v>15</v>
      </c>
      <c r="G4" t="s">
        <v>19</v>
      </c>
      <c r="H4" t="s">
        <v>14</v>
      </c>
      <c r="I4" t="s">
        <v>34</v>
      </c>
    </row>
    <row r="5" spans="1:9" x14ac:dyDescent="0.25">
      <c r="A5" s="13" t="s">
        <v>12</v>
      </c>
      <c r="B5" s="14">
        <v>98.014070000000004</v>
      </c>
      <c r="C5" s="14">
        <v>151.90434999999999</v>
      </c>
      <c r="D5" s="14">
        <v>580.48689999999999</v>
      </c>
      <c r="E5" s="14">
        <v>128.727</v>
      </c>
      <c r="F5" s="14">
        <v>235.00183000000001</v>
      </c>
      <c r="G5" s="14">
        <v>153.09520000000001</v>
      </c>
      <c r="H5" s="14">
        <v>241.12808999999999</v>
      </c>
      <c r="I5" s="14">
        <v>1588.3574399999998</v>
      </c>
    </row>
    <row r="6" spans="1:9" x14ac:dyDescent="0.25">
      <c r="A6" s="13" t="s">
        <v>11</v>
      </c>
      <c r="B6" s="14">
        <v>48.89808</v>
      </c>
      <c r="C6" s="14">
        <v>97.603800000000007</v>
      </c>
      <c r="D6" s="14">
        <v>223.2671</v>
      </c>
      <c r="E6" s="14">
        <v>71.766000000000005</v>
      </c>
      <c r="F6" s="14">
        <v>128.21789999999999</v>
      </c>
      <c r="G6" s="14">
        <v>71.444800000000001</v>
      </c>
      <c r="H6" s="14">
        <v>152.64017999999999</v>
      </c>
      <c r="I6" s="14">
        <v>793.83785999999998</v>
      </c>
    </row>
    <row r="7" spans="1:9" x14ac:dyDescent="0.25">
      <c r="A7" s="13" t="s">
        <v>13</v>
      </c>
      <c r="B7" s="14">
        <v>44.191839999999999</v>
      </c>
      <c r="C7" s="14">
        <v>70.487949999999998</v>
      </c>
      <c r="D7" s="14">
        <v>156.2869</v>
      </c>
      <c r="E7" s="14">
        <v>57.411000000000001</v>
      </c>
      <c r="F7" s="14">
        <v>111.18516</v>
      </c>
      <c r="G7" s="14">
        <v>91.855199999999996</v>
      </c>
      <c r="H7" s="14">
        <v>112.581</v>
      </c>
      <c r="I7" s="14">
        <v>643.99905000000001</v>
      </c>
    </row>
    <row r="8" spans="1:9" x14ac:dyDescent="0.25">
      <c r="A8" s="13" t="s">
        <v>9</v>
      </c>
      <c r="B8" s="14">
        <v>58.942729999999997</v>
      </c>
      <c r="C8" s="14">
        <v>108.4413</v>
      </c>
      <c r="D8" s="14">
        <v>334.6651</v>
      </c>
      <c r="E8" s="14">
        <v>114.822</v>
      </c>
      <c r="F8" s="14">
        <v>136.53326999999999</v>
      </c>
      <c r="G8" s="14">
        <v>76.544799999999995</v>
      </c>
      <c r="H8" s="14">
        <v>180.8415</v>
      </c>
      <c r="I8" s="14">
        <v>1010.7907</v>
      </c>
    </row>
    <row r="9" spans="1:9" x14ac:dyDescent="0.25">
      <c r="A9" s="13" t="s">
        <v>34</v>
      </c>
      <c r="B9" s="14">
        <v>250.04671999999999</v>
      </c>
      <c r="C9" s="14">
        <v>428.43740000000003</v>
      </c>
      <c r="D9" s="14">
        <v>1294.7059999999999</v>
      </c>
      <c r="E9" s="14">
        <v>372.726</v>
      </c>
      <c r="F9" s="14">
        <v>610.93816000000004</v>
      </c>
      <c r="G9" s="14">
        <v>392.94000000000005</v>
      </c>
      <c r="H9" s="14">
        <v>687.19076999999993</v>
      </c>
      <c r="I9" s="14">
        <v>4036.9850499999998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3A864-9003-4FD8-AAC8-D1EF24DDD919}">
  <dimension ref="A1:F29"/>
  <sheetViews>
    <sheetView topLeftCell="A2" workbookViewId="0">
      <selection sqref="A1:F29"/>
    </sheetView>
  </sheetViews>
  <sheetFormatPr defaultRowHeight="15" x14ac:dyDescent="0.25"/>
  <cols>
    <col min="1" max="1" width="18.140625" customWidth="1"/>
    <col min="2" max="2" width="18.42578125" customWidth="1"/>
    <col min="3" max="3" width="20.7109375" customWidth="1"/>
    <col min="4" max="4" width="19.42578125" customWidth="1"/>
    <col min="5" max="5" width="21.85546875" customWidth="1"/>
    <col min="6" max="7" width="21" customWidth="1"/>
    <col min="8" max="8" width="22.140625" customWidth="1"/>
    <col min="9" max="9" width="19.140625" customWidth="1"/>
  </cols>
  <sheetData>
    <row r="1" spans="1:6" x14ac:dyDescent="0.25">
      <c r="A1" s="1" t="s">
        <v>0</v>
      </c>
      <c r="B1" s="1" t="s">
        <v>1</v>
      </c>
      <c r="C1" s="1" t="s">
        <v>2</v>
      </c>
      <c r="D1" s="1" t="s">
        <v>3</v>
      </c>
      <c r="E1" s="1" t="s">
        <v>6</v>
      </c>
      <c r="F1" s="1" t="s">
        <v>7</v>
      </c>
    </row>
    <row r="2" spans="1:6" ht="30" x14ac:dyDescent="0.25">
      <c r="A2" s="2" t="s">
        <v>9</v>
      </c>
      <c r="B2" s="2" t="s">
        <v>10</v>
      </c>
      <c r="C2" s="3">
        <v>717.14</v>
      </c>
      <c r="D2" s="4">
        <v>478093</v>
      </c>
      <c r="E2" s="5">
        <v>334.6651</v>
      </c>
      <c r="F2" s="3">
        <v>382.47489999999999</v>
      </c>
    </row>
    <row r="3" spans="1:6" x14ac:dyDescent="0.25">
      <c r="A3" s="2" t="s">
        <v>11</v>
      </c>
      <c r="B3" s="2" t="s">
        <v>10</v>
      </c>
      <c r="C3" s="3">
        <v>478.43</v>
      </c>
      <c r="D3" s="4">
        <v>318953</v>
      </c>
      <c r="E3" s="5">
        <v>223.2671</v>
      </c>
      <c r="F3" s="3">
        <v>255.16290000000001</v>
      </c>
    </row>
    <row r="4" spans="1:6" x14ac:dyDescent="0.25">
      <c r="A4" s="2" t="s">
        <v>12</v>
      </c>
      <c r="B4" s="2" t="s">
        <v>10</v>
      </c>
      <c r="C4" s="3">
        <v>1243.9000000000001</v>
      </c>
      <c r="D4" s="4">
        <v>829267</v>
      </c>
      <c r="E4" s="5">
        <v>580.48689999999999</v>
      </c>
      <c r="F4" s="3">
        <v>663.41309999999999</v>
      </c>
    </row>
    <row r="5" spans="1:6" x14ac:dyDescent="0.25">
      <c r="A5" s="2" t="s">
        <v>13</v>
      </c>
      <c r="B5" s="2" t="s">
        <v>10</v>
      </c>
      <c r="C5" s="3">
        <v>334.9</v>
      </c>
      <c r="D5" s="4">
        <v>223267</v>
      </c>
      <c r="E5" s="5">
        <v>156.2869</v>
      </c>
      <c r="F5" s="3">
        <v>178.6131</v>
      </c>
    </row>
    <row r="6" spans="1:6" ht="30" x14ac:dyDescent="0.25">
      <c r="A6" s="2" t="s">
        <v>9</v>
      </c>
      <c r="B6" s="2" t="s">
        <v>14</v>
      </c>
      <c r="C6" s="3">
        <v>401.87</v>
      </c>
      <c r="D6" s="4">
        <v>287050</v>
      </c>
      <c r="E6" s="5">
        <v>180.8415</v>
      </c>
      <c r="F6" s="3">
        <v>221.02850000000001</v>
      </c>
    </row>
    <row r="7" spans="1:6" x14ac:dyDescent="0.25">
      <c r="A7" s="2" t="s">
        <v>11</v>
      </c>
      <c r="B7" s="2" t="s">
        <v>14</v>
      </c>
      <c r="C7" s="3">
        <v>339.2</v>
      </c>
      <c r="D7" s="4">
        <v>242286</v>
      </c>
      <c r="E7" s="5">
        <v>152.64017999999999</v>
      </c>
      <c r="F7" s="3">
        <v>186.5598</v>
      </c>
    </row>
    <row r="8" spans="1:6" x14ac:dyDescent="0.25">
      <c r="A8" s="2" t="s">
        <v>12</v>
      </c>
      <c r="B8" s="2" t="s">
        <v>14</v>
      </c>
      <c r="C8" s="3">
        <v>535.84</v>
      </c>
      <c r="D8" s="4">
        <v>382743</v>
      </c>
      <c r="E8" s="5">
        <v>241.12808999999999</v>
      </c>
      <c r="F8" s="3">
        <v>294.71190000000001</v>
      </c>
    </row>
    <row r="9" spans="1:6" x14ac:dyDescent="0.25">
      <c r="A9" s="2" t="s">
        <v>13</v>
      </c>
      <c r="B9" s="2" t="s">
        <v>14</v>
      </c>
      <c r="C9" s="3">
        <v>250.18</v>
      </c>
      <c r="D9" s="4">
        <v>178700</v>
      </c>
      <c r="E9" s="5">
        <v>112.581</v>
      </c>
      <c r="F9" s="3">
        <v>137.59899999999999</v>
      </c>
    </row>
    <row r="10" spans="1:6" ht="30" x14ac:dyDescent="0.25">
      <c r="A10" s="2" t="s">
        <v>9</v>
      </c>
      <c r="B10" s="2" t="s">
        <v>15</v>
      </c>
      <c r="C10" s="3">
        <v>275.11</v>
      </c>
      <c r="D10" s="4">
        <v>203781</v>
      </c>
      <c r="E10" s="5">
        <v>136.53326999999999</v>
      </c>
      <c r="F10" s="3">
        <v>138.57669999999999</v>
      </c>
    </row>
    <row r="11" spans="1:6" x14ac:dyDescent="0.25">
      <c r="A11" s="2" t="s">
        <v>11</v>
      </c>
      <c r="B11" s="2" t="s">
        <v>15</v>
      </c>
      <c r="C11" s="3">
        <v>258.35000000000002</v>
      </c>
      <c r="D11" s="4">
        <v>191370</v>
      </c>
      <c r="E11" s="5">
        <v>128.21789999999999</v>
      </c>
      <c r="F11" s="3">
        <v>130.13210000000001</v>
      </c>
    </row>
    <row r="12" spans="1:6" x14ac:dyDescent="0.25">
      <c r="A12" s="2" t="s">
        <v>12</v>
      </c>
      <c r="B12" s="2" t="s">
        <v>15</v>
      </c>
      <c r="C12" s="3">
        <v>473.51</v>
      </c>
      <c r="D12" s="4">
        <v>350749</v>
      </c>
      <c r="E12" s="5">
        <v>235.00183000000001</v>
      </c>
      <c r="F12" s="3">
        <v>238.50819999999999</v>
      </c>
    </row>
    <row r="13" spans="1:6" x14ac:dyDescent="0.25">
      <c r="A13" s="2" t="s">
        <v>13</v>
      </c>
      <c r="B13" s="2" t="s">
        <v>15</v>
      </c>
      <c r="C13" s="3">
        <v>224.03</v>
      </c>
      <c r="D13" s="4">
        <v>165948</v>
      </c>
      <c r="E13" s="5">
        <v>111.18516</v>
      </c>
      <c r="F13" s="3">
        <v>112.84480000000001</v>
      </c>
    </row>
    <row r="14" spans="1:6" ht="30" x14ac:dyDescent="0.25">
      <c r="A14" s="2" t="s">
        <v>9</v>
      </c>
      <c r="B14" s="2" t="s">
        <v>16</v>
      </c>
      <c r="C14" s="3">
        <v>229.64</v>
      </c>
      <c r="D14" s="4">
        <v>127578</v>
      </c>
      <c r="E14" s="5">
        <v>108.4413</v>
      </c>
      <c r="F14" s="3">
        <v>121.1987</v>
      </c>
    </row>
    <row r="15" spans="1:6" ht="30" x14ac:dyDescent="0.25">
      <c r="A15" s="2" t="s">
        <v>11</v>
      </c>
      <c r="B15" s="2" t="s">
        <v>16</v>
      </c>
      <c r="C15" s="3">
        <v>206.69</v>
      </c>
      <c r="D15" s="4">
        <v>114828</v>
      </c>
      <c r="E15" s="5">
        <v>97.603800000000007</v>
      </c>
      <c r="F15" s="3">
        <v>109.08620000000001</v>
      </c>
    </row>
    <row r="16" spans="1:6" ht="30" x14ac:dyDescent="0.25">
      <c r="A16" s="2" t="s">
        <v>12</v>
      </c>
      <c r="B16" s="2" t="s">
        <v>16</v>
      </c>
      <c r="C16" s="3">
        <v>321.68</v>
      </c>
      <c r="D16" s="4">
        <v>178711</v>
      </c>
      <c r="E16" s="5">
        <v>151.90434999999999</v>
      </c>
      <c r="F16" s="3">
        <v>169.7757</v>
      </c>
    </row>
    <row r="17" spans="1:6" ht="30" x14ac:dyDescent="0.25">
      <c r="A17" s="2" t="s">
        <v>13</v>
      </c>
      <c r="B17" s="2" t="s">
        <v>16</v>
      </c>
      <c r="C17" s="3">
        <v>149.27000000000001</v>
      </c>
      <c r="D17" s="4">
        <v>82927</v>
      </c>
      <c r="E17" s="5">
        <v>70.487949999999998</v>
      </c>
      <c r="F17" s="3">
        <v>78.7821</v>
      </c>
    </row>
    <row r="18" spans="1:6" ht="30" x14ac:dyDescent="0.25">
      <c r="A18" s="2" t="s">
        <v>9</v>
      </c>
      <c r="B18" s="2" t="s">
        <v>17</v>
      </c>
      <c r="C18" s="3">
        <v>133.96</v>
      </c>
      <c r="D18" s="4">
        <v>76549</v>
      </c>
      <c r="E18" s="5">
        <v>58.942729999999997</v>
      </c>
      <c r="F18" s="3">
        <v>75.017300000000006</v>
      </c>
    </row>
    <row r="19" spans="1:6" x14ac:dyDescent="0.25">
      <c r="A19" s="2" t="s">
        <v>11</v>
      </c>
      <c r="B19" s="2" t="s">
        <v>17</v>
      </c>
      <c r="C19" s="3">
        <v>111.63</v>
      </c>
      <c r="D19" s="4">
        <v>63504</v>
      </c>
      <c r="E19" s="5">
        <v>48.89808</v>
      </c>
      <c r="F19" s="3">
        <v>62.731900000000003</v>
      </c>
    </row>
    <row r="20" spans="1:6" x14ac:dyDescent="0.25">
      <c r="A20" s="2" t="s">
        <v>12</v>
      </c>
      <c r="B20" s="2" t="s">
        <v>17</v>
      </c>
      <c r="C20" s="3">
        <v>223.26</v>
      </c>
      <c r="D20" s="4">
        <v>127291</v>
      </c>
      <c r="E20" s="5">
        <v>98.014070000000004</v>
      </c>
      <c r="F20" s="3">
        <v>125.24590000000001</v>
      </c>
    </row>
    <row r="21" spans="1:6" x14ac:dyDescent="0.25">
      <c r="A21" s="2" t="s">
        <v>13</v>
      </c>
      <c r="B21" s="2" t="s">
        <v>17</v>
      </c>
      <c r="C21" s="3">
        <v>100.42</v>
      </c>
      <c r="D21" s="4">
        <v>57392</v>
      </c>
      <c r="E21" s="5">
        <v>44.191839999999999</v>
      </c>
      <c r="F21" s="3">
        <v>56.228200000000001</v>
      </c>
    </row>
    <row r="22" spans="1:6" ht="30" x14ac:dyDescent="0.25">
      <c r="A22" s="2" t="s">
        <v>9</v>
      </c>
      <c r="B22" s="2" t="s">
        <v>18</v>
      </c>
      <c r="C22" s="3">
        <v>255.16</v>
      </c>
      <c r="D22" s="4">
        <v>255160</v>
      </c>
      <c r="E22" s="5">
        <v>114.822</v>
      </c>
      <c r="F22" s="3">
        <v>140.33799999999999</v>
      </c>
    </row>
    <row r="23" spans="1:6" x14ac:dyDescent="0.25">
      <c r="A23" s="2" t="s">
        <v>11</v>
      </c>
      <c r="B23" s="2" t="s">
        <v>18</v>
      </c>
      <c r="C23" s="3">
        <v>159.47999999999999</v>
      </c>
      <c r="D23" s="4">
        <v>159480</v>
      </c>
      <c r="E23" s="5">
        <v>71.766000000000005</v>
      </c>
      <c r="F23" s="3">
        <v>87.713999999999999</v>
      </c>
    </row>
    <row r="24" spans="1:6" x14ac:dyDescent="0.25">
      <c r="A24" s="2" t="s">
        <v>12</v>
      </c>
      <c r="B24" s="2" t="s">
        <v>18</v>
      </c>
      <c r="C24" s="3">
        <v>286.06</v>
      </c>
      <c r="D24" s="4">
        <v>286060</v>
      </c>
      <c r="E24" s="5">
        <v>128.727</v>
      </c>
      <c r="F24" s="3">
        <v>157.333</v>
      </c>
    </row>
    <row r="25" spans="1:6" x14ac:dyDescent="0.25">
      <c r="A25" s="2" t="s">
        <v>13</v>
      </c>
      <c r="B25" s="2" t="s">
        <v>18</v>
      </c>
      <c r="C25" s="3">
        <v>127.58</v>
      </c>
      <c r="D25" s="4">
        <v>127580</v>
      </c>
      <c r="E25" s="5">
        <v>57.411000000000001</v>
      </c>
      <c r="F25" s="3">
        <v>70.168999999999997</v>
      </c>
    </row>
    <row r="26" spans="1:6" ht="30" x14ac:dyDescent="0.25">
      <c r="A26" s="2" t="s">
        <v>9</v>
      </c>
      <c r="B26" s="2" t="s">
        <v>19</v>
      </c>
      <c r="C26" s="3">
        <v>153.09</v>
      </c>
      <c r="D26" s="4">
        <v>95681</v>
      </c>
      <c r="E26" s="5">
        <v>76.544799999999995</v>
      </c>
      <c r="F26" s="3">
        <v>76.545199999999994</v>
      </c>
    </row>
    <row r="27" spans="1:6" x14ac:dyDescent="0.25">
      <c r="A27" s="2" t="s">
        <v>11</v>
      </c>
      <c r="B27" s="2" t="s">
        <v>19</v>
      </c>
      <c r="C27" s="3">
        <v>142.88999999999999</v>
      </c>
      <c r="D27" s="4">
        <v>89306</v>
      </c>
      <c r="E27" s="5">
        <v>71.444800000000001</v>
      </c>
      <c r="F27" s="3">
        <v>71.4452</v>
      </c>
    </row>
    <row r="28" spans="1:6" x14ac:dyDescent="0.25">
      <c r="A28" s="2" t="s">
        <v>12</v>
      </c>
      <c r="B28" s="2" t="s">
        <v>19</v>
      </c>
      <c r="C28" s="3">
        <v>306.19</v>
      </c>
      <c r="D28" s="4">
        <v>191369</v>
      </c>
      <c r="E28" s="5">
        <v>153.09520000000001</v>
      </c>
      <c r="F28" s="3">
        <v>153.09479999999999</v>
      </c>
    </row>
    <row r="29" spans="1:6" x14ac:dyDescent="0.25">
      <c r="A29" s="2" t="s">
        <v>13</v>
      </c>
      <c r="B29" s="2" t="s">
        <v>19</v>
      </c>
      <c r="C29" s="3">
        <v>183.71</v>
      </c>
      <c r="D29" s="4">
        <v>114819</v>
      </c>
      <c r="E29" s="5">
        <v>91.855199999999996</v>
      </c>
      <c r="F29" s="3">
        <v>91.854799999999997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ADB3-F8B7-4628-A5FF-0D94F2BA99B1}">
  <dimension ref="A1:D4"/>
  <sheetViews>
    <sheetView workbookViewId="0">
      <selection activeCell="B12" sqref="B12"/>
    </sheetView>
  </sheetViews>
  <sheetFormatPr defaultRowHeight="15" x14ac:dyDescent="0.25"/>
  <cols>
    <col min="1" max="1" width="18.7109375" customWidth="1"/>
    <col min="2" max="2" width="25.42578125" customWidth="1"/>
    <col min="3" max="3" width="22.42578125" customWidth="1"/>
    <col min="4" max="4" width="20.7109375" customWidth="1"/>
  </cols>
  <sheetData>
    <row r="1" spans="1:4" x14ac:dyDescent="0.25">
      <c r="A1" s="1" t="s">
        <v>20</v>
      </c>
      <c r="B1" s="1" t="s">
        <v>21</v>
      </c>
      <c r="C1" s="1" t="s">
        <v>22</v>
      </c>
      <c r="D1" s="1" t="s">
        <v>23</v>
      </c>
    </row>
    <row r="2" spans="1:4" ht="30" x14ac:dyDescent="0.25">
      <c r="A2" s="6" t="s">
        <v>24</v>
      </c>
      <c r="B2" s="7">
        <v>828.28</v>
      </c>
      <c r="C2" s="7">
        <v>372.726</v>
      </c>
      <c r="D2" s="7">
        <v>455.55399999999997</v>
      </c>
    </row>
    <row r="3" spans="1:4" ht="45" x14ac:dyDescent="0.25">
      <c r="A3" s="6" t="s">
        <v>25</v>
      </c>
      <c r="B3" s="7">
        <v>6318.34</v>
      </c>
      <c r="C3" s="7">
        <v>2985.77493</v>
      </c>
      <c r="D3" s="7">
        <v>3332.5650000000001</v>
      </c>
    </row>
    <row r="4" spans="1:4" ht="30" x14ac:dyDescent="0.25">
      <c r="A4" s="6" t="s">
        <v>26</v>
      </c>
      <c r="B4" s="7">
        <v>1476.55</v>
      </c>
      <c r="C4" s="7">
        <v>678.48411999999996</v>
      </c>
      <c r="D4" s="7">
        <v>798.06600000000003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FC924-3FD5-40D8-82D4-F1CFC41E8C7C}">
  <dimension ref="A1:L33"/>
  <sheetViews>
    <sheetView workbookViewId="0">
      <selection activeCell="B39" sqref="B39"/>
    </sheetView>
  </sheetViews>
  <sheetFormatPr defaultRowHeight="15" x14ac:dyDescent="0.25"/>
  <cols>
    <col min="1" max="1" width="18.42578125" customWidth="1"/>
    <col min="2" max="2" width="20.42578125" style="8" customWidth="1"/>
    <col min="3" max="3" width="22.85546875" style="8" customWidth="1"/>
    <col min="4" max="4" width="29" style="8" customWidth="1"/>
    <col min="5" max="5" width="24.28515625" customWidth="1"/>
    <col min="6" max="6" width="27.85546875" customWidth="1"/>
    <col min="7" max="7" width="22.140625" customWidth="1"/>
    <col min="8" max="8" width="16.42578125" customWidth="1"/>
    <col min="10" max="10" width="16.42578125" customWidth="1"/>
    <col min="11" max="11" width="13.28515625" customWidth="1"/>
    <col min="12" max="12" width="12.5703125" customWidth="1"/>
  </cols>
  <sheetData>
    <row r="1" spans="1:8" x14ac:dyDescent="0.25">
      <c r="A1" s="9" t="s">
        <v>0</v>
      </c>
      <c r="B1" s="10" t="s">
        <v>10</v>
      </c>
      <c r="C1" s="10" t="s">
        <v>14</v>
      </c>
      <c r="D1" s="10" t="s">
        <v>15</v>
      </c>
      <c r="E1" s="2" t="s">
        <v>16</v>
      </c>
      <c r="F1" s="2" t="s">
        <v>17</v>
      </c>
      <c r="G1" s="2" t="s">
        <v>18</v>
      </c>
      <c r="H1" s="2" t="s">
        <v>19</v>
      </c>
    </row>
    <row r="2" spans="1:8" ht="27" customHeight="1" x14ac:dyDescent="0.25">
      <c r="A2" s="2" t="s">
        <v>9</v>
      </c>
      <c r="B2" s="11">
        <v>717.14</v>
      </c>
      <c r="C2" s="11">
        <v>401.87</v>
      </c>
      <c r="D2" s="11">
        <v>275.11</v>
      </c>
      <c r="E2" s="3">
        <v>229.64</v>
      </c>
      <c r="F2" s="3">
        <v>133.96</v>
      </c>
      <c r="G2" s="3">
        <v>255.16</v>
      </c>
      <c r="H2" s="3">
        <v>153.09</v>
      </c>
    </row>
    <row r="3" spans="1:8" x14ac:dyDescent="0.25">
      <c r="A3" s="2" t="s">
        <v>11</v>
      </c>
      <c r="B3" s="11">
        <v>478.43</v>
      </c>
      <c r="C3" s="11">
        <v>339.2</v>
      </c>
      <c r="D3" s="11">
        <v>258.35000000000002</v>
      </c>
      <c r="E3" s="3">
        <v>206.69</v>
      </c>
      <c r="F3" s="3">
        <v>111.63</v>
      </c>
      <c r="G3" s="3">
        <v>159.47999999999999</v>
      </c>
      <c r="H3" s="3">
        <v>142.88999999999999</v>
      </c>
    </row>
    <row r="4" spans="1:8" x14ac:dyDescent="0.25">
      <c r="A4" s="2" t="s">
        <v>12</v>
      </c>
      <c r="B4" s="11">
        <v>1243.9000000000001</v>
      </c>
      <c r="C4" s="11">
        <v>535.84</v>
      </c>
      <c r="D4" s="11">
        <v>473.51</v>
      </c>
      <c r="E4" s="3">
        <v>321.68</v>
      </c>
      <c r="F4" s="3">
        <v>223.26</v>
      </c>
      <c r="G4" s="3">
        <v>286.06</v>
      </c>
      <c r="H4" s="3">
        <v>306.19</v>
      </c>
    </row>
    <row r="5" spans="1:8" x14ac:dyDescent="0.25">
      <c r="A5" s="2" t="s">
        <v>13</v>
      </c>
      <c r="B5" s="11">
        <v>334.9</v>
      </c>
      <c r="C5" s="11">
        <v>250.18</v>
      </c>
      <c r="D5" s="11">
        <v>224.03</v>
      </c>
      <c r="E5" s="3">
        <v>149.27000000000001</v>
      </c>
      <c r="F5" s="3">
        <v>100.42</v>
      </c>
      <c r="G5" s="3">
        <v>127.58</v>
      </c>
      <c r="H5" s="3">
        <v>183.71</v>
      </c>
    </row>
    <row r="8" spans="1:8" x14ac:dyDescent="0.25">
      <c r="A8" s="2" t="s">
        <v>10</v>
      </c>
      <c r="C8" s="8" t="s">
        <v>14</v>
      </c>
      <c r="E8" t="s">
        <v>15</v>
      </c>
      <c r="G8" s="2" t="s">
        <v>16</v>
      </c>
    </row>
    <row r="9" spans="1:8" x14ac:dyDescent="0.25">
      <c r="A9" t="s">
        <v>27</v>
      </c>
      <c r="B9" s="8">
        <f t="shared" ref="B9:D13" si="0">QUARTILE(B2:B5, 1)</f>
        <v>442.54750000000001</v>
      </c>
      <c r="C9" s="8" t="s">
        <v>27</v>
      </c>
      <c r="D9" s="8">
        <f>QUARTILE(C2:C5, 1)</f>
        <v>316.94499999999999</v>
      </c>
      <c r="E9" t="s">
        <v>27</v>
      </c>
      <c r="F9" s="8">
        <f>QUARTILE(E2:E5, 1)</f>
        <v>192.33500000000001</v>
      </c>
      <c r="G9" t="s">
        <v>27</v>
      </c>
      <c r="H9" s="8">
        <f>QUARTILE(G2:G5, 1)</f>
        <v>151.505</v>
      </c>
    </row>
    <row r="10" spans="1:8" x14ac:dyDescent="0.25">
      <c r="A10" t="s">
        <v>28</v>
      </c>
      <c r="B10" s="8">
        <f>QUARTILE(B2:B5, 3)</f>
        <v>848.83</v>
      </c>
      <c r="C10" s="8" t="s">
        <v>28</v>
      </c>
      <c r="D10" s="8">
        <f>QUARTILE(C2:C5, 3)</f>
        <v>435.36250000000001</v>
      </c>
      <c r="E10" t="s">
        <v>28</v>
      </c>
      <c r="F10">
        <f>QUARTILE(E2:E5, 3)</f>
        <v>252.64999999999998</v>
      </c>
      <c r="G10" t="s">
        <v>28</v>
      </c>
      <c r="H10">
        <f>QUARTILE(G2:G5, 3)</f>
        <v>262.88499999999999</v>
      </c>
    </row>
    <row r="11" spans="1:8" x14ac:dyDescent="0.25">
      <c r="A11" t="s">
        <v>29</v>
      </c>
      <c r="B11" s="8">
        <f>B10-B9</f>
        <v>406.28250000000003</v>
      </c>
      <c r="C11" s="8" t="s">
        <v>29</v>
      </c>
      <c r="D11" s="8">
        <f>D10-D9</f>
        <v>118.41750000000002</v>
      </c>
      <c r="E11" t="s">
        <v>29</v>
      </c>
      <c r="F11" s="8">
        <f>F10-F9</f>
        <v>60.314999999999969</v>
      </c>
      <c r="G11" t="s">
        <v>29</v>
      </c>
      <c r="H11" s="8">
        <f>H10-H9</f>
        <v>111.38</v>
      </c>
    </row>
    <row r="12" spans="1:8" x14ac:dyDescent="0.25">
      <c r="A12" t="s">
        <v>30</v>
      </c>
      <c r="B12" s="8">
        <f>B9 - 1.5 * B11</f>
        <v>-166.87625000000003</v>
      </c>
      <c r="C12" s="8" t="s">
        <v>30</v>
      </c>
      <c r="D12" s="8">
        <f>D9 - 1.5 * D11</f>
        <v>139.31874999999997</v>
      </c>
      <c r="E12" t="s">
        <v>30</v>
      </c>
      <c r="F12" s="8">
        <f>F9 - 1.5 * F11</f>
        <v>101.86250000000005</v>
      </c>
      <c r="G12" t="s">
        <v>30</v>
      </c>
      <c r="H12" s="8">
        <f>H9 - 1.5 * H11</f>
        <v>-15.564999999999998</v>
      </c>
    </row>
    <row r="13" spans="1:8" x14ac:dyDescent="0.25">
      <c r="A13" t="s">
        <v>31</v>
      </c>
      <c r="B13" s="8">
        <f>B10 + 1.5 * B11</f>
        <v>1458.2537500000001</v>
      </c>
      <c r="C13" s="8" t="s">
        <v>31</v>
      </c>
      <c r="D13" s="8">
        <f>D10 + 1.5 * D11</f>
        <v>612.98874999999998</v>
      </c>
      <c r="E13" t="s">
        <v>31</v>
      </c>
      <c r="F13" s="8">
        <f>F10 + 1.5 * F11</f>
        <v>343.12249999999995</v>
      </c>
      <c r="G13" t="s">
        <v>31</v>
      </c>
      <c r="H13" s="8">
        <f>H10 + 1.5 * H11</f>
        <v>429.95499999999998</v>
      </c>
    </row>
    <row r="16" spans="1:8" x14ac:dyDescent="0.25">
      <c r="A16" s="2" t="s">
        <v>17</v>
      </c>
      <c r="C16" s="10" t="s">
        <v>18</v>
      </c>
      <c r="E16" s="2" t="s">
        <v>19</v>
      </c>
    </row>
    <row r="17" spans="1:12" x14ac:dyDescent="0.25">
      <c r="A17" t="s">
        <v>27</v>
      </c>
      <c r="B17" s="8">
        <f>QUARTILE(F2:F5, 1)</f>
        <v>108.8275</v>
      </c>
      <c r="C17" s="8" t="s">
        <v>27</v>
      </c>
      <c r="D17" s="8">
        <f>QUARTILE(G2:G5, 1)</f>
        <v>151.505</v>
      </c>
      <c r="E17" t="s">
        <v>27</v>
      </c>
      <c r="F17" s="8">
        <f>QUARTILE(H2:H5, 1)</f>
        <v>150.54</v>
      </c>
    </row>
    <row r="18" spans="1:12" x14ac:dyDescent="0.25">
      <c r="A18" t="s">
        <v>28</v>
      </c>
      <c r="B18" s="8">
        <f>QUARTILE(F2:F5, 3)</f>
        <v>156.285</v>
      </c>
      <c r="C18" s="8" t="s">
        <v>28</v>
      </c>
      <c r="D18" s="8">
        <f>QUARTILE(G2:G5, 3)</f>
        <v>262.88499999999999</v>
      </c>
      <c r="E18" t="s">
        <v>28</v>
      </c>
      <c r="F18">
        <f>QUARTILE(H2:H5, 3)</f>
        <v>214.33</v>
      </c>
    </row>
    <row r="19" spans="1:12" x14ac:dyDescent="0.25">
      <c r="A19" t="s">
        <v>29</v>
      </c>
      <c r="B19" s="8">
        <f>B18-B17</f>
        <v>47.457499999999996</v>
      </c>
      <c r="C19" s="8" t="s">
        <v>29</v>
      </c>
      <c r="D19" s="8">
        <f>D18-D17</f>
        <v>111.38</v>
      </c>
      <c r="E19" t="s">
        <v>29</v>
      </c>
      <c r="F19" s="8">
        <f>F18-F17</f>
        <v>63.79000000000002</v>
      </c>
    </row>
    <row r="20" spans="1:12" x14ac:dyDescent="0.25">
      <c r="A20" t="s">
        <v>30</v>
      </c>
      <c r="B20" s="8">
        <f>B17 - 1.5 * B19</f>
        <v>37.641249999999999</v>
      </c>
      <c r="C20" s="8" t="s">
        <v>30</v>
      </c>
      <c r="D20" s="8">
        <f>D17 - 1.5 * D19</f>
        <v>-15.564999999999998</v>
      </c>
      <c r="E20" t="s">
        <v>30</v>
      </c>
      <c r="F20" s="8">
        <f>F17 - 1.5 * F19</f>
        <v>54.854999999999961</v>
      </c>
    </row>
    <row r="21" spans="1:12" x14ac:dyDescent="0.25">
      <c r="A21" t="s">
        <v>31</v>
      </c>
      <c r="B21" s="8">
        <f>B18 + 1.5 * B19</f>
        <v>227.47125</v>
      </c>
      <c r="C21" s="8" t="s">
        <v>31</v>
      </c>
      <c r="D21" s="8">
        <f>D18 + 1.5 * D19</f>
        <v>429.95499999999998</v>
      </c>
      <c r="E21" t="s">
        <v>31</v>
      </c>
      <c r="F21" s="8">
        <f>F18 + 1.5 * F19</f>
        <v>310.01500000000004</v>
      </c>
    </row>
    <row r="23" spans="1:12" ht="24.75" customHeight="1" x14ac:dyDescent="0.25">
      <c r="A23" s="9" t="s">
        <v>0</v>
      </c>
      <c r="B23" s="10" t="s">
        <v>10</v>
      </c>
      <c r="C23" s="8" t="s">
        <v>32</v>
      </c>
      <c r="D23" s="9" t="s">
        <v>0</v>
      </c>
      <c r="E23" s="10" t="s">
        <v>14</v>
      </c>
      <c r="F23" t="s">
        <v>32</v>
      </c>
      <c r="G23" s="9" t="s">
        <v>0</v>
      </c>
      <c r="H23" s="10" t="s">
        <v>15</v>
      </c>
      <c r="I23" t="s">
        <v>32</v>
      </c>
      <c r="J23" s="9" t="s">
        <v>0</v>
      </c>
      <c r="K23" s="2" t="s">
        <v>16</v>
      </c>
      <c r="L23" t="s">
        <v>32</v>
      </c>
    </row>
    <row r="24" spans="1:12" ht="30" x14ac:dyDescent="0.25">
      <c r="A24" s="2" t="s">
        <v>9</v>
      </c>
      <c r="B24" s="11">
        <v>717.14</v>
      </c>
      <c r="C24" s="8" t="str">
        <f>IF(AND(B2&gt;=B12, B2&lt;=B13), "FALSE", "OUTLIER")</f>
        <v>FALSE</v>
      </c>
      <c r="D24" s="2" t="s">
        <v>9</v>
      </c>
      <c r="E24" s="11">
        <v>401.87</v>
      </c>
      <c r="F24" t="str">
        <f>IF(AND(C2&gt;=D12, C2&lt;=D13), "FALSE", "OUTLIER")</f>
        <v>FALSE</v>
      </c>
      <c r="G24" s="2" t="s">
        <v>9</v>
      </c>
      <c r="H24" s="11">
        <v>275.11</v>
      </c>
      <c r="I24" t="str">
        <f>IF(AND(D2&gt;=F12, D2&lt;=F13), "FALSE", "OUTLIER")</f>
        <v>FALSE</v>
      </c>
      <c r="J24" s="2" t="s">
        <v>9</v>
      </c>
      <c r="K24" s="3">
        <v>229.64</v>
      </c>
      <c r="L24" t="str">
        <f>IF(AND(E2&gt;=H12, E2&lt;=H13), "FALSE", "OUTLIER")</f>
        <v>FALSE</v>
      </c>
    </row>
    <row r="25" spans="1:12" x14ac:dyDescent="0.25">
      <c r="A25" s="2" t="s">
        <v>11</v>
      </c>
      <c r="B25" s="11">
        <v>478.43</v>
      </c>
      <c r="C25" s="8" t="str">
        <f>IF(AND(B3&gt;=B12, B3&lt;=B13), "FALSE", "OUTLIER")</f>
        <v>FALSE</v>
      </c>
      <c r="D25" s="2" t="s">
        <v>11</v>
      </c>
      <c r="E25" s="11">
        <v>339.2</v>
      </c>
      <c r="F25" t="str">
        <f>IF(AND(C3&gt;=D12, C3&lt;=D13), "FALSE", "OUTLIER")</f>
        <v>FALSE</v>
      </c>
      <c r="G25" s="2" t="s">
        <v>11</v>
      </c>
      <c r="H25" s="11">
        <v>258.35000000000002</v>
      </c>
      <c r="I25" t="str">
        <f>IF(AND(D3&gt;=F12, D3&lt;=F13), "FALSE", "OUTLIER")</f>
        <v>FALSE</v>
      </c>
      <c r="J25" s="2" t="s">
        <v>11</v>
      </c>
      <c r="K25" s="3">
        <v>206.69</v>
      </c>
      <c r="L25" t="str">
        <f>IF(AND(E3&gt;=H12, E3&lt;=H13), "FALSE", "OUTLIER")</f>
        <v>FALSE</v>
      </c>
    </row>
    <row r="26" spans="1:12" x14ac:dyDescent="0.25">
      <c r="A26" s="2" t="s">
        <v>12</v>
      </c>
      <c r="B26" s="11">
        <v>1243.9000000000001</v>
      </c>
      <c r="C26" s="8" t="str">
        <f>IF(AND(B4&gt;=B12, B4&lt;=B13), "FALSE", "OUTLIER")</f>
        <v>FALSE</v>
      </c>
      <c r="D26" s="2" t="s">
        <v>12</v>
      </c>
      <c r="E26" s="11">
        <v>535.84</v>
      </c>
      <c r="F26" t="str">
        <f>IF(AND(C4&gt;=D12, C4&lt;=D13), "FALSE", "OUTLIER")</f>
        <v>FALSE</v>
      </c>
      <c r="G26" s="2" t="s">
        <v>12</v>
      </c>
      <c r="H26" s="11">
        <v>473.51</v>
      </c>
      <c r="I26" t="str">
        <f>IF(AND(D4&gt;=F12, D4&lt;=F13), "FALSE", "OUTLIER")</f>
        <v>OUTLIER</v>
      </c>
      <c r="J26" s="2" t="s">
        <v>12</v>
      </c>
      <c r="K26" s="3">
        <v>321.68</v>
      </c>
      <c r="L26" t="str">
        <f>IF(AND(E4&gt;=H12, E4&lt;=H13), "FALSE", "OUTLIER")</f>
        <v>FALSE</v>
      </c>
    </row>
    <row r="27" spans="1:12" x14ac:dyDescent="0.25">
      <c r="A27" s="2" t="s">
        <v>13</v>
      </c>
      <c r="B27" s="11">
        <v>334.9</v>
      </c>
      <c r="C27" s="8" t="str">
        <f>IF(AND(B5&gt;=B12, B5&lt;=B13), "FALSE", "OUTLIER")</f>
        <v>FALSE</v>
      </c>
      <c r="D27" s="2" t="s">
        <v>13</v>
      </c>
      <c r="E27" s="11">
        <v>250.18</v>
      </c>
      <c r="F27" t="str">
        <f>IF(AND(C5&gt;=D12, C5&lt;=D13), "FALSE", "OUTLIER")</f>
        <v>FALSE</v>
      </c>
      <c r="G27" s="2" t="s">
        <v>13</v>
      </c>
      <c r="H27" s="11">
        <v>224.03</v>
      </c>
      <c r="I27" t="str">
        <f>IF(AND(D5&gt;=F12, D5&lt;=F13), "FALSE", "OUTLIER")</f>
        <v>FALSE</v>
      </c>
      <c r="J27" s="2" t="s">
        <v>13</v>
      </c>
      <c r="K27" s="3">
        <v>149.27000000000001</v>
      </c>
      <c r="L27" t="str">
        <f>IF(AND(E5&gt;=H12, E5&lt;=H13), "FALSE", "OUTLIER")</f>
        <v>FALSE</v>
      </c>
    </row>
    <row r="29" spans="1:12" x14ac:dyDescent="0.25">
      <c r="A29" s="9" t="s">
        <v>0</v>
      </c>
      <c r="B29" s="2" t="s">
        <v>17</v>
      </c>
      <c r="C29" s="8" t="s">
        <v>32</v>
      </c>
      <c r="D29" s="9" t="s">
        <v>0</v>
      </c>
      <c r="E29" s="2" t="s">
        <v>18</v>
      </c>
      <c r="F29" t="s">
        <v>32</v>
      </c>
      <c r="G29" s="9" t="s">
        <v>0</v>
      </c>
      <c r="H29" s="2" t="s">
        <v>19</v>
      </c>
      <c r="I29" t="s">
        <v>32</v>
      </c>
    </row>
    <row r="30" spans="1:12" ht="30" x14ac:dyDescent="0.25">
      <c r="A30" s="2" t="s">
        <v>9</v>
      </c>
      <c r="B30" s="3">
        <v>133.96</v>
      </c>
      <c r="C30" s="8" t="str">
        <f>IF(AND(F2&gt;=B20, F2&lt;=B21), "FALSE", "OUTLIER")</f>
        <v>FALSE</v>
      </c>
      <c r="D30" s="2" t="s">
        <v>9</v>
      </c>
      <c r="E30" s="3">
        <v>255.16</v>
      </c>
      <c r="F30" t="str">
        <f>IF(AND(G2&gt;=D20, G2&lt;=D21), "FALSE", "OUTLIER")</f>
        <v>FALSE</v>
      </c>
      <c r="G30" s="2" t="s">
        <v>9</v>
      </c>
      <c r="H30" s="3">
        <v>153.09</v>
      </c>
      <c r="I30" t="str">
        <f>IF(AND(H2&gt;=F20, H2&lt;=F21), "FALSE", "OUTLIER")</f>
        <v>FALSE</v>
      </c>
    </row>
    <row r="31" spans="1:12" x14ac:dyDescent="0.25">
      <c r="A31" s="2" t="s">
        <v>11</v>
      </c>
      <c r="B31" s="3">
        <v>111.63</v>
      </c>
      <c r="C31" s="8" t="str">
        <f>IF(AND(F3&gt;=B20, F3&lt;=B21), "FALSE", "OUTLIER")</f>
        <v>FALSE</v>
      </c>
      <c r="D31" s="2" t="s">
        <v>11</v>
      </c>
      <c r="E31" s="3">
        <v>159.47999999999999</v>
      </c>
      <c r="F31" t="str">
        <f>IF(AND(G3&gt;=D20, G3&lt;=D21), "FALSE", "OUTLIER")</f>
        <v>FALSE</v>
      </c>
      <c r="G31" s="2" t="s">
        <v>11</v>
      </c>
      <c r="H31" s="3">
        <v>142.88999999999999</v>
      </c>
      <c r="I31" t="str">
        <f>IF(AND(H3&gt;=F20, H3&lt;=F21), "FALSE", "OUTLIER")</f>
        <v>FALSE</v>
      </c>
    </row>
    <row r="32" spans="1:12" x14ac:dyDescent="0.25">
      <c r="A32" s="2" t="s">
        <v>12</v>
      </c>
      <c r="B32" s="3">
        <v>223.26</v>
      </c>
      <c r="C32" s="8" t="str">
        <f>IF(AND(F4&gt;=B20, F4&lt;=B21), "FALSE", "OUTLIER")</f>
        <v>FALSE</v>
      </c>
      <c r="D32" s="2" t="s">
        <v>12</v>
      </c>
      <c r="E32" s="3">
        <v>286.06</v>
      </c>
      <c r="F32" t="str">
        <f>IF(AND(G4&gt;=D20, G4&lt;=D21), "FALSE", "OUTLIER")</f>
        <v>FALSE</v>
      </c>
      <c r="G32" s="2" t="s">
        <v>12</v>
      </c>
      <c r="H32" s="3">
        <v>306.19</v>
      </c>
      <c r="I32" t="str">
        <f>IF(AND(H4&gt;=F20, H4&lt;=F21), "FALSE", "OUTLIER")</f>
        <v>FALSE</v>
      </c>
    </row>
    <row r="33" spans="1:9" x14ac:dyDescent="0.25">
      <c r="A33" s="2" t="s">
        <v>13</v>
      </c>
      <c r="B33" s="3">
        <v>100.42</v>
      </c>
      <c r="C33" s="8" t="str">
        <f>IF(AND(F5&gt;=B20, F5&lt;=B21), "FALSE", "OUTLIER")</f>
        <v>FALSE</v>
      </c>
      <c r="D33" s="2" t="s">
        <v>13</v>
      </c>
      <c r="E33" s="3">
        <v>127.58</v>
      </c>
      <c r="F33" t="str">
        <f>IF(AND(G5&gt;=D20, G5&lt;=D21), "FALSE", "OUTLIER")</f>
        <v>FALSE</v>
      </c>
      <c r="G33" s="2" t="s">
        <v>13</v>
      </c>
      <c r="H33" s="3">
        <v>183.71</v>
      </c>
      <c r="I33" t="str">
        <f>IF(AND(H5&gt;=F20, H5&lt;=F21), "FALSE", "OUTLIER")</f>
        <v>FALSE</v>
      </c>
    </row>
  </sheetData>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Venituri_Profitabilitate</vt:lpstr>
      <vt:lpstr>PivotTable1</vt:lpstr>
      <vt:lpstr>PrognozaIndicatori</vt:lpstr>
      <vt:lpstr>PivotTable2</vt:lpstr>
      <vt:lpstr>DashBoard</vt:lpstr>
      <vt:lpstr>PivotTable3</vt:lpstr>
      <vt:lpstr>TabelDatePivot</vt:lpstr>
      <vt:lpstr>Clasificare_Produse</vt:lpstr>
      <vt:lpstr>Analiză_Descriptivă</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Barbu</dc:creator>
  <cp:lastModifiedBy>Barbu</cp:lastModifiedBy>
  <dcterms:created xsi:type="dcterms:W3CDTF">2025-01-08T10:08:37Z</dcterms:created>
  <dcterms:modified xsi:type="dcterms:W3CDTF">2025-01-08T17:35:27Z</dcterms:modified>
</cp:coreProperties>
</file>